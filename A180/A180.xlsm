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_Misc\A180\"/>
    </mc:Choice>
  </mc:AlternateContent>
  <bookViews>
    <workbookView xWindow="0" yWindow="0" windowWidth="20490" windowHeight="9165" activeTab="1"/>
  </bookViews>
  <sheets>
    <sheet name="ERP for HZ" sheetId="5" r:id="rId1"/>
    <sheet name="HZ" sheetId="2" r:id="rId2"/>
  </sheets>
  <definedNames>
    <definedName name="_xlnm._FilterDatabase" localSheetId="1" hidden="1">HZ!$A$1:$S$90</definedName>
    <definedName name="DATA1" localSheetId="1">HZ!$A$2:$A$90</definedName>
    <definedName name="DATA1">#REF!</definedName>
    <definedName name="DATA10" localSheetId="1">HZ!$L$2:$L$90</definedName>
    <definedName name="DATA10">#REF!</definedName>
    <definedName name="DATA11" localSheetId="1">HZ!$M$2:$M$90</definedName>
    <definedName name="DATA11">#REF!</definedName>
    <definedName name="DATA12" localSheetId="1">HZ!$N$2:$N$90</definedName>
    <definedName name="DATA12">#REF!</definedName>
    <definedName name="DATA2" localSheetId="1">HZ!$B$2:$B$90</definedName>
    <definedName name="DATA2">#REF!</definedName>
    <definedName name="DATA3" localSheetId="1">HZ!$C$2:$C$90</definedName>
    <definedName name="DATA3">#REF!</definedName>
    <definedName name="DATA4" localSheetId="1">HZ!$D$2:$D$90</definedName>
    <definedName name="DATA4">#REF!</definedName>
    <definedName name="DATA5" localSheetId="1">HZ!$E$2:$E$90</definedName>
    <definedName name="DATA5">#REF!</definedName>
    <definedName name="DATA6" localSheetId="1">HZ!$F$2:$F$90</definedName>
    <definedName name="DATA6">#REF!</definedName>
    <definedName name="DATA7" localSheetId="1">HZ!$I$2:$I$90</definedName>
    <definedName name="DATA7">#REF!</definedName>
    <definedName name="DATA8" localSheetId="1">HZ!$J$2:$J$90</definedName>
    <definedName name="DATA8">#REF!</definedName>
    <definedName name="DATA9" localSheetId="1">HZ!$K$2:$K$90</definedName>
    <definedName name="DATA9">#REF!</definedName>
    <definedName name="TEST0" localSheetId="1">HZ!$A$2:$N$90</definedName>
    <definedName name="TEST0">#REF!</definedName>
    <definedName name="TESTHKEY" localSheetId="1">HZ!$M$1:$N$1</definedName>
    <definedName name="TESTHKEY">#REF!</definedName>
    <definedName name="TESTKEYS" localSheetId="1">HZ!$A$2:$L$90</definedName>
    <definedName name="TESTKEYS">#REF!</definedName>
    <definedName name="TESTVKEY" localSheetId="1">HZ!$A$1:$L$1</definedName>
    <definedName name="TESTVKEY">#REF!</definedName>
  </definedNames>
  <calcPr calcId="152511"/>
  <pivotCaches>
    <pivotCache cacheId="1" r:id="rId3"/>
  </pivotCaches>
</workbook>
</file>

<file path=xl/calcChain.xml><?xml version="1.0" encoding="utf-8"?>
<calcChain xmlns="http://schemas.openxmlformats.org/spreadsheetml/2006/main">
  <c r="O90" i="2" l="1"/>
  <c r="P90" i="2"/>
  <c r="Q90" i="2" s="1"/>
  <c r="H90" i="2"/>
  <c r="G90" i="2" s="1"/>
  <c r="O89" i="2"/>
  <c r="P89" i="2" s="1"/>
  <c r="H89" i="2"/>
  <c r="G89" i="2"/>
  <c r="O88" i="2"/>
  <c r="P88" i="2"/>
  <c r="Q88" i="2" s="1"/>
  <c r="H88" i="2"/>
  <c r="G88" i="2" s="1"/>
  <c r="O87" i="2"/>
  <c r="P87" i="2" s="1"/>
  <c r="H87" i="2"/>
  <c r="G87" i="2"/>
  <c r="O86" i="2"/>
  <c r="P86" i="2"/>
  <c r="Q86" i="2" s="1"/>
  <c r="H86" i="2"/>
  <c r="G86" i="2" s="1"/>
  <c r="O85" i="2"/>
  <c r="P85" i="2" s="1"/>
  <c r="Q85" i="2" s="1"/>
  <c r="H85" i="2"/>
  <c r="G85" i="2"/>
  <c r="O84" i="2"/>
  <c r="P84" i="2"/>
  <c r="Q84" i="2" s="1"/>
  <c r="H84" i="2"/>
  <c r="G84" i="2" s="1"/>
  <c r="O83" i="2"/>
  <c r="P83" i="2" s="1"/>
  <c r="R83" i="2" s="1"/>
  <c r="Q83" i="2"/>
  <c r="H83" i="2"/>
  <c r="G83" i="2"/>
  <c r="O82" i="2"/>
  <c r="P82" i="2"/>
  <c r="Q82" i="2" s="1"/>
  <c r="H82" i="2"/>
  <c r="G82" i="2" s="1"/>
  <c r="O81" i="2"/>
  <c r="P81" i="2" s="1"/>
  <c r="H81" i="2"/>
  <c r="G81" i="2"/>
  <c r="O80" i="2"/>
  <c r="P80" i="2"/>
  <c r="Q80" i="2" s="1"/>
  <c r="H80" i="2"/>
  <c r="G80" i="2" s="1"/>
  <c r="O79" i="2"/>
  <c r="P79" i="2" s="1"/>
  <c r="H79" i="2"/>
  <c r="G79" i="2"/>
  <c r="O78" i="2"/>
  <c r="P78" i="2"/>
  <c r="Q78" i="2" s="1"/>
  <c r="H78" i="2"/>
  <c r="G78" i="2" s="1"/>
  <c r="O77" i="2"/>
  <c r="P77" i="2" s="1"/>
  <c r="Q77" i="2" s="1"/>
  <c r="H77" i="2"/>
  <c r="G77" i="2"/>
  <c r="O76" i="2"/>
  <c r="P76" i="2"/>
  <c r="Q76" i="2" s="1"/>
  <c r="H76" i="2"/>
  <c r="G76" i="2" s="1"/>
  <c r="O75" i="2"/>
  <c r="P75" i="2" s="1"/>
  <c r="R75" i="2" s="1"/>
  <c r="Q75" i="2"/>
  <c r="H75" i="2"/>
  <c r="G75" i="2"/>
  <c r="O74" i="2"/>
  <c r="P74" i="2"/>
  <c r="Q74" i="2" s="1"/>
  <c r="H74" i="2"/>
  <c r="G74" i="2" s="1"/>
  <c r="O73" i="2"/>
  <c r="P73" i="2" s="1"/>
  <c r="H73" i="2"/>
  <c r="G73" i="2"/>
  <c r="O72" i="2"/>
  <c r="P72" i="2"/>
  <c r="Q72" i="2" s="1"/>
  <c r="H72" i="2"/>
  <c r="G72" i="2" s="1"/>
  <c r="O71" i="2"/>
  <c r="P71" i="2" s="1"/>
  <c r="H71" i="2"/>
  <c r="G71" i="2"/>
  <c r="O70" i="2"/>
  <c r="P70" i="2"/>
  <c r="Q70" i="2" s="1"/>
  <c r="H70" i="2"/>
  <c r="G70" i="2" s="1"/>
  <c r="O69" i="2"/>
  <c r="P69" i="2" s="1"/>
  <c r="Q69" i="2" s="1"/>
  <c r="H69" i="2"/>
  <c r="G69" i="2"/>
  <c r="O68" i="2"/>
  <c r="P68" i="2"/>
  <c r="Q68" i="2" s="1"/>
  <c r="H68" i="2"/>
  <c r="G68" i="2" s="1"/>
  <c r="O67" i="2"/>
  <c r="P67" i="2" s="1"/>
  <c r="R67" i="2" s="1"/>
  <c r="Q67" i="2"/>
  <c r="H67" i="2"/>
  <c r="G67" i="2"/>
  <c r="O66" i="2"/>
  <c r="P66" i="2"/>
  <c r="Q66" i="2" s="1"/>
  <c r="H66" i="2"/>
  <c r="G66" i="2" s="1"/>
  <c r="O65" i="2"/>
  <c r="P65" i="2" s="1"/>
  <c r="H65" i="2"/>
  <c r="G65" i="2"/>
  <c r="O64" i="2"/>
  <c r="P64" i="2"/>
  <c r="Q64" i="2" s="1"/>
  <c r="H64" i="2"/>
  <c r="G64" i="2"/>
  <c r="O63" i="2"/>
  <c r="P63" i="2" s="1"/>
  <c r="Q63" i="2"/>
  <c r="H63" i="2"/>
  <c r="G63" i="2"/>
  <c r="O62" i="2"/>
  <c r="P62" i="2"/>
  <c r="Q62" i="2" s="1"/>
  <c r="H62" i="2"/>
  <c r="G62" i="2" s="1"/>
  <c r="O61" i="2"/>
  <c r="P61" i="2"/>
  <c r="H61" i="2"/>
  <c r="G61" i="2"/>
  <c r="O60" i="2"/>
  <c r="P60" i="2" s="1"/>
  <c r="Q60" i="2" s="1"/>
  <c r="H60" i="2"/>
  <c r="G60" i="2" s="1"/>
  <c r="O59" i="2"/>
  <c r="P59" i="2" s="1"/>
  <c r="R59" i="2" s="1"/>
  <c r="Q59" i="2"/>
  <c r="H59" i="2"/>
  <c r="G59" i="2" s="1"/>
  <c r="O58" i="2"/>
  <c r="P58" i="2"/>
  <c r="Q58" i="2"/>
  <c r="H58" i="2"/>
  <c r="G58" i="2" s="1"/>
  <c r="P57" i="2"/>
  <c r="Q57" i="2" s="1"/>
  <c r="O57" i="2"/>
  <c r="H57" i="2"/>
  <c r="G57" i="2"/>
  <c r="O56" i="2"/>
  <c r="P56" i="2"/>
  <c r="H56" i="2"/>
  <c r="G56" i="2"/>
  <c r="O55" i="2"/>
  <c r="P55" i="2" s="1"/>
  <c r="R55" i="2" s="1"/>
  <c r="Q55" i="2"/>
  <c r="H55" i="2"/>
  <c r="G55" i="2"/>
  <c r="O54" i="2"/>
  <c r="P54" i="2"/>
  <c r="Q54" i="2" s="1"/>
  <c r="H54" i="2"/>
  <c r="G54" i="2" s="1"/>
  <c r="O53" i="2"/>
  <c r="P53" i="2" s="1"/>
  <c r="H53" i="2"/>
  <c r="G53" i="2"/>
  <c r="O52" i="2"/>
  <c r="P52" i="2" s="1"/>
  <c r="Q52" i="2" s="1"/>
  <c r="H52" i="2"/>
  <c r="G52" i="2"/>
  <c r="O51" i="2"/>
  <c r="P51" i="2" s="1"/>
  <c r="H51" i="2"/>
  <c r="G51" i="2" s="1"/>
  <c r="O50" i="2"/>
  <c r="P50" i="2"/>
  <c r="Q50" i="2"/>
  <c r="H50" i="2"/>
  <c r="G50" i="2" s="1"/>
  <c r="P49" i="2"/>
  <c r="Q49" i="2" s="1"/>
  <c r="O49" i="2"/>
  <c r="H49" i="2"/>
  <c r="G49" i="2"/>
  <c r="O48" i="2"/>
  <c r="P48" i="2"/>
  <c r="Q48" i="2" s="1"/>
  <c r="H48" i="2"/>
  <c r="G48" i="2" s="1"/>
  <c r="O47" i="2"/>
  <c r="P47" i="2" s="1"/>
  <c r="Q47" i="2"/>
  <c r="H47" i="2"/>
  <c r="G47" i="2" s="1"/>
  <c r="O46" i="2"/>
  <c r="P46" i="2"/>
  <c r="Q46" i="2"/>
  <c r="H46" i="2"/>
  <c r="G46" i="2" s="1"/>
  <c r="O45" i="2"/>
  <c r="P45" i="2"/>
  <c r="Q45" i="2"/>
  <c r="H45" i="2"/>
  <c r="G45" i="2"/>
  <c r="O44" i="2"/>
  <c r="P44" i="2"/>
  <c r="H44" i="2"/>
  <c r="G44" i="2" s="1"/>
  <c r="O43" i="2"/>
  <c r="P43" i="2" s="1"/>
  <c r="H43" i="2"/>
  <c r="G43" i="2" s="1"/>
  <c r="O42" i="2"/>
  <c r="P42" i="2"/>
  <c r="Q42" i="2" s="1"/>
  <c r="H42" i="2"/>
  <c r="G42" i="2" s="1"/>
  <c r="Q41" i="2"/>
  <c r="O41" i="2"/>
  <c r="P41" i="2" s="1"/>
  <c r="R41" i="2" s="1"/>
  <c r="H41" i="2"/>
  <c r="G41" i="2"/>
  <c r="O40" i="2"/>
  <c r="P40" i="2" s="1"/>
  <c r="Q40" i="2" s="1"/>
  <c r="H40" i="2"/>
  <c r="G40" i="2"/>
  <c r="O39" i="2"/>
  <c r="P39" i="2" s="1"/>
  <c r="H39" i="2"/>
  <c r="G39" i="2"/>
  <c r="O38" i="2"/>
  <c r="P38" i="2"/>
  <c r="Q38" i="2" s="1"/>
  <c r="H38" i="2"/>
  <c r="G38" i="2" s="1"/>
  <c r="O37" i="2"/>
  <c r="P37" i="2"/>
  <c r="Q37" i="2" s="1"/>
  <c r="H37" i="2"/>
  <c r="G37" i="2"/>
  <c r="O36" i="2"/>
  <c r="P36" i="2" s="1"/>
  <c r="Q36" i="2" s="1"/>
  <c r="H36" i="2"/>
  <c r="G36" i="2" s="1"/>
  <c r="O35" i="2"/>
  <c r="P35" i="2" s="1"/>
  <c r="H35" i="2"/>
  <c r="G35" i="2"/>
  <c r="O34" i="2"/>
  <c r="P34" i="2"/>
  <c r="Q34" i="2"/>
  <c r="H34" i="2"/>
  <c r="G34" i="2" s="1"/>
  <c r="O33" i="2"/>
  <c r="P33" i="2" s="1"/>
  <c r="H33" i="2"/>
  <c r="G33" i="2"/>
  <c r="O32" i="2"/>
  <c r="P32" i="2"/>
  <c r="Q32" i="2" s="1"/>
  <c r="H32" i="2"/>
  <c r="G32" i="2"/>
  <c r="O31" i="2"/>
  <c r="P31" i="2" s="1"/>
  <c r="Q31" i="2"/>
  <c r="H31" i="2"/>
  <c r="G31" i="2"/>
  <c r="O30" i="2"/>
  <c r="P30" i="2"/>
  <c r="Q30" i="2" s="1"/>
  <c r="H30" i="2"/>
  <c r="G30" i="2" s="1"/>
  <c r="O29" i="2"/>
  <c r="P29" i="2"/>
  <c r="H29" i="2"/>
  <c r="G29" i="2"/>
  <c r="O28" i="2"/>
  <c r="P28" i="2" s="1"/>
  <c r="Q28" i="2" s="1"/>
  <c r="H28" i="2"/>
  <c r="G28" i="2" s="1"/>
  <c r="O27" i="2"/>
  <c r="P27" i="2" s="1"/>
  <c r="R27" i="2" s="1"/>
  <c r="Q27" i="2"/>
  <c r="H27" i="2"/>
  <c r="G27" i="2" s="1"/>
  <c r="O26" i="2"/>
  <c r="P26" i="2"/>
  <c r="Q26" i="2"/>
  <c r="H26" i="2"/>
  <c r="G26" i="2" s="1"/>
  <c r="O25" i="2"/>
  <c r="P25" i="2" s="1"/>
  <c r="H25" i="2"/>
  <c r="G25" i="2"/>
  <c r="O24" i="2"/>
  <c r="P24" i="2"/>
  <c r="H24" i="2"/>
  <c r="G24" i="2"/>
  <c r="O23" i="2"/>
  <c r="P23" i="2" s="1"/>
  <c r="R23" i="2" s="1"/>
  <c r="Q23" i="2"/>
  <c r="H23" i="2"/>
  <c r="G23" i="2"/>
  <c r="O22" i="2"/>
  <c r="P22" i="2"/>
  <c r="Q22" i="2" s="1"/>
  <c r="H22" i="2"/>
  <c r="G22" i="2" s="1"/>
  <c r="O21" i="2"/>
  <c r="P21" i="2" s="1"/>
  <c r="H21" i="2"/>
  <c r="G21" i="2"/>
  <c r="O20" i="2"/>
  <c r="P20" i="2" s="1"/>
  <c r="Q20" i="2" s="1"/>
  <c r="H20" i="2"/>
  <c r="G20" i="2"/>
  <c r="O19" i="2"/>
  <c r="P19" i="2" s="1"/>
  <c r="H19" i="2"/>
  <c r="G19" i="2" s="1"/>
  <c r="O18" i="2"/>
  <c r="P18" i="2"/>
  <c r="Q18" i="2"/>
  <c r="H18" i="2"/>
  <c r="G18" i="2" s="1"/>
  <c r="P17" i="2"/>
  <c r="Q17" i="2" s="1"/>
  <c r="O17" i="2"/>
  <c r="H17" i="2"/>
  <c r="G17" i="2"/>
  <c r="O16" i="2"/>
  <c r="P16" i="2"/>
  <c r="Q16" i="2" s="1"/>
  <c r="H16" i="2"/>
  <c r="G16" i="2" s="1"/>
  <c r="O15" i="2"/>
  <c r="P15" i="2" s="1"/>
  <c r="Q15" i="2"/>
  <c r="H15" i="2"/>
  <c r="G15" i="2" s="1"/>
  <c r="O14" i="2"/>
  <c r="P14" i="2"/>
  <c r="Q14" i="2"/>
  <c r="H14" i="2"/>
  <c r="G14" i="2" s="1"/>
  <c r="O13" i="2"/>
  <c r="P13" i="2"/>
  <c r="H13" i="2"/>
  <c r="G13" i="2" s="1"/>
  <c r="O12" i="2"/>
  <c r="P12" i="2" s="1"/>
  <c r="R12" i="2" s="1"/>
  <c r="H12" i="2"/>
  <c r="G12" i="2" s="1"/>
  <c r="O11" i="2"/>
  <c r="P11" i="2"/>
  <c r="R11" i="2" s="1"/>
  <c r="H11" i="2"/>
  <c r="G11" i="2" s="1"/>
  <c r="O10" i="2"/>
  <c r="P10" i="2" s="1"/>
  <c r="R10" i="2" s="1"/>
  <c r="H10" i="2"/>
  <c r="G10" i="2" s="1"/>
  <c r="O9" i="2"/>
  <c r="P9" i="2"/>
  <c r="H9" i="2"/>
  <c r="G9" i="2" s="1"/>
  <c r="O8" i="2"/>
  <c r="P8" i="2" s="1"/>
  <c r="H8" i="2"/>
  <c r="G8" i="2" s="1"/>
  <c r="O7" i="2"/>
  <c r="P7" i="2" s="1"/>
  <c r="Q7" i="2" s="1"/>
  <c r="H7" i="2"/>
  <c r="G7" i="2" s="1"/>
  <c r="O6" i="2"/>
  <c r="P6" i="2"/>
  <c r="Q6" i="2" s="1"/>
  <c r="H6" i="2"/>
  <c r="G6" i="2" s="1"/>
  <c r="O5" i="2"/>
  <c r="P5" i="2"/>
  <c r="R5" i="2" s="1"/>
  <c r="H5" i="2"/>
  <c r="G5" i="2" s="1"/>
  <c r="O4" i="2"/>
  <c r="P4" i="2" s="1"/>
  <c r="R4" i="2" s="1"/>
  <c r="H4" i="2"/>
  <c r="G4" i="2" s="1"/>
  <c r="O3" i="2"/>
  <c r="P3" i="2"/>
  <c r="R3" i="2" s="1"/>
  <c r="H3" i="2"/>
  <c r="G3" i="2" s="1"/>
  <c r="O2" i="2"/>
  <c r="P2" i="2" s="1"/>
  <c r="H2" i="2"/>
  <c r="G2" i="2" s="1"/>
  <c r="Q3" i="2"/>
  <c r="Q5" i="2"/>
  <c r="R7" i="2"/>
  <c r="Q4" i="2"/>
  <c r="Q10" i="2"/>
  <c r="Q12" i="2"/>
  <c r="Q13" i="2"/>
  <c r="R13" i="2"/>
  <c r="R14" i="2"/>
  <c r="R15" i="2"/>
  <c r="R16" i="2"/>
  <c r="R18" i="2"/>
  <c r="R20" i="2"/>
  <c r="R22" i="2"/>
  <c r="R26" i="2"/>
  <c r="R30" i="2"/>
  <c r="R31" i="2"/>
  <c r="R32" i="2"/>
  <c r="R34" i="2"/>
  <c r="R36" i="2"/>
  <c r="R38" i="2"/>
  <c r="R42" i="2"/>
  <c r="R45" i="2"/>
  <c r="R46" i="2"/>
  <c r="R47" i="2"/>
  <c r="R48" i="2"/>
  <c r="R49" i="2"/>
  <c r="R50" i="2"/>
  <c r="R54" i="2"/>
  <c r="R58" i="2"/>
  <c r="R60" i="2"/>
  <c r="R62" i="2"/>
  <c r="R63" i="2"/>
  <c r="R64" i="2"/>
  <c r="R66" i="2"/>
  <c r="R68" i="2"/>
  <c r="R70" i="2"/>
  <c r="R74" i="2"/>
  <c r="R76" i="2"/>
  <c r="R77" i="2"/>
  <c r="R78" i="2"/>
  <c r="R80" i="2"/>
  <c r="R82" i="2"/>
  <c r="R84" i="2"/>
  <c r="R86" i="2"/>
  <c r="R90" i="2"/>
  <c r="Q25" i="2" l="1"/>
  <c r="R25" i="2"/>
  <c r="Q2" i="2"/>
  <c r="R2" i="2"/>
  <c r="Q24" i="2"/>
  <c r="R24" i="2"/>
  <c r="Q33" i="2"/>
  <c r="R33" i="2"/>
  <c r="Q61" i="2"/>
  <c r="R61" i="2"/>
  <c r="Q73" i="2"/>
  <c r="R73" i="2"/>
  <c r="Q87" i="2"/>
  <c r="R87" i="2"/>
  <c r="R88" i="2"/>
  <c r="R69" i="2"/>
  <c r="R57" i="2"/>
  <c r="R37" i="2"/>
  <c r="R17" i="2"/>
  <c r="R6" i="2"/>
  <c r="R9" i="2"/>
  <c r="Q9" i="2"/>
  <c r="Q29" i="2"/>
  <c r="R29" i="2"/>
  <c r="Q44" i="2"/>
  <c r="R44" i="2"/>
  <c r="Q53" i="2"/>
  <c r="R53" i="2"/>
  <c r="Q81" i="2"/>
  <c r="R81" i="2"/>
  <c r="Q21" i="2"/>
  <c r="R21" i="2"/>
  <c r="Q71" i="2"/>
  <c r="R71" i="2"/>
  <c r="Q89" i="2"/>
  <c r="R89" i="2"/>
  <c r="R85" i="2"/>
  <c r="R72" i="2"/>
  <c r="R52" i="2"/>
  <c r="R40" i="2"/>
  <c r="R28" i="2"/>
  <c r="Q11" i="2"/>
  <c r="R8" i="2"/>
  <c r="Q8" i="2"/>
  <c r="Q35" i="2"/>
  <c r="R35" i="2"/>
  <c r="R39" i="2"/>
  <c r="Q39" i="2"/>
  <c r="R43" i="2"/>
  <c r="Q43" i="2"/>
  <c r="Q56" i="2"/>
  <c r="R56" i="2"/>
  <c r="Q65" i="2"/>
  <c r="R65" i="2"/>
  <c r="Q79" i="2"/>
  <c r="R79" i="2"/>
  <c r="Q51" i="2"/>
  <c r="R51" i="2"/>
  <c r="Q19" i="2"/>
  <c r="R19" i="2"/>
</calcChain>
</file>

<file path=xl/sharedStrings.xml><?xml version="1.0" encoding="utf-8"?>
<sst xmlns="http://schemas.openxmlformats.org/spreadsheetml/2006/main" count="1022" uniqueCount="94">
  <si>
    <t>2005006</t>
  </si>
  <si>
    <t>LOROM INDUSTRIAL CO LTD</t>
  </si>
  <si>
    <t>1100</t>
  </si>
  <si>
    <t>NA</t>
  </si>
  <si>
    <t>EA</t>
  </si>
  <si>
    <t>178</t>
  </si>
  <si>
    <t>999</t>
  </si>
  <si>
    <t>179260</t>
  </si>
  <si>
    <t>WIRE,RIBBON,ASSY., CABLE, RIBBON, 34FOR</t>
  </si>
  <si>
    <t>31/2015</t>
  </si>
  <si>
    <t>30/2015</t>
  </si>
  <si>
    <t>11/2015</t>
  </si>
  <si>
    <t>13/2015</t>
  </si>
  <si>
    <t>15/2015</t>
  </si>
  <si>
    <t>17/2015</t>
  </si>
  <si>
    <t>19/2015</t>
  </si>
  <si>
    <t>20/2015</t>
  </si>
  <si>
    <t>22/2015</t>
  </si>
  <si>
    <t>24/2015</t>
  </si>
  <si>
    <t>25/2015</t>
  </si>
  <si>
    <t>26/2015</t>
  </si>
  <si>
    <t>28/2015</t>
  </si>
  <si>
    <t>29/2015</t>
  </si>
  <si>
    <t>33/2015</t>
  </si>
  <si>
    <t>35/2015</t>
  </si>
  <si>
    <t>10/2015</t>
  </si>
  <si>
    <t>14/2015</t>
  </si>
  <si>
    <t>16/2015</t>
  </si>
  <si>
    <t>18/2015</t>
  </si>
  <si>
    <t>21/2015</t>
  </si>
  <si>
    <t>23/2015</t>
  </si>
  <si>
    <t>27/2015</t>
  </si>
  <si>
    <t>32/2015</t>
  </si>
  <si>
    <t>34/2015</t>
  </si>
  <si>
    <t>195204-C01</t>
  </si>
  <si>
    <t>WIRE,RIBBON,CABLE,CONTROLTO GATE BD,40 P</t>
  </si>
  <si>
    <t>195208-C01</t>
  </si>
  <si>
    <t>WIRE HRNS ASSY,SMPS J1 TO GATE POWER BD,</t>
  </si>
  <si>
    <t>195209-C01</t>
  </si>
  <si>
    <t>WIRE HRNS ASSY,SMPS TO GATE POW J2,FRAME</t>
  </si>
  <si>
    <t>195210-C01</t>
  </si>
  <si>
    <t>WIRE HRNS ASSY,SMPS TOGATE POWER J12,FRA</t>
  </si>
  <si>
    <t>196755-C01</t>
  </si>
  <si>
    <t>WIRE,OTHER,CABLE,CTRL-COM INTFC,FRAME 5</t>
  </si>
  <si>
    <t>309442-C02</t>
  </si>
  <si>
    <t>WIRE HRNS ASSY,18AWG,600V,PWR INT TO IGB</t>
  </si>
  <si>
    <t>41391-268-51</t>
  </si>
  <si>
    <t>WIRING HARNESS</t>
  </si>
  <si>
    <t>1150</t>
  </si>
  <si>
    <t>41391-268-52</t>
  </si>
  <si>
    <t>41391-298-51</t>
  </si>
  <si>
    <t>75040-219-01</t>
  </si>
  <si>
    <t>HI FLEX PUR CABLE</t>
  </si>
  <si>
    <t>FT</t>
  </si>
  <si>
    <t>75040-220-01</t>
  </si>
  <si>
    <t>77189-125-02</t>
  </si>
  <si>
    <t>CROSS-OVER PATCH CABLE</t>
  </si>
  <si>
    <t>1040</t>
  </si>
  <si>
    <t>1080</t>
  </si>
  <si>
    <t>PN-18057</t>
  </si>
  <si>
    <t>BUL. 1492 DBL OVERMOLD CABLE - 37 PIN</t>
  </si>
  <si>
    <t>PN-18060</t>
  </si>
  <si>
    <t>BUL. 1492 DBL OVERMOLD CABLE - 25 PIN</t>
  </si>
  <si>
    <t>PN-27698</t>
  </si>
  <si>
    <t>PN-90720</t>
  </si>
  <si>
    <t>BUL.150-S, WRG HARNESS, NON BYPASS W/JMP</t>
  </si>
  <si>
    <t>R5816-535</t>
  </si>
  <si>
    <t>18AWG 40COND NON-SHD CBL</t>
  </si>
  <si>
    <t>R5816-615</t>
  </si>
  <si>
    <t>22AWG 20COND SHD CBL</t>
  </si>
  <si>
    <t>R5816-617</t>
  </si>
  <si>
    <t>22AWG 9 TW PR SHD CBLE</t>
  </si>
  <si>
    <t>Order Quantity</t>
  </si>
  <si>
    <t>PO Net Value</t>
  </si>
  <si>
    <t>Vendor</t>
  </si>
  <si>
    <t>Vendor Name</t>
  </si>
  <si>
    <t>Material</t>
  </si>
  <si>
    <t>Material Description</t>
  </si>
  <si>
    <t>Plant</t>
  </si>
  <si>
    <t>POrg</t>
  </si>
  <si>
    <t>Week</t>
  </si>
  <si>
    <t>UoM</t>
  </si>
  <si>
    <t>PGrp</t>
  </si>
  <si>
    <t>Version</t>
  </si>
  <si>
    <t>MD04 Date</t>
  </si>
  <si>
    <t>Date</t>
  </si>
  <si>
    <t>Month</t>
  </si>
  <si>
    <t>Year</t>
  </si>
  <si>
    <t>ETA</t>
    <phoneticPr fontId="1" type="noConversion"/>
  </si>
  <si>
    <t>WEEKS</t>
    <phoneticPr fontId="1" type="noConversion"/>
  </si>
  <si>
    <t>HZ</t>
    <phoneticPr fontId="1" type="noConversion"/>
  </si>
  <si>
    <t>總計</t>
  </si>
  <si>
    <t>ETA</t>
  </si>
  <si>
    <t>加總 - Order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</si>
</sst>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.000"/>
    <numFmt numFmtId="177" formatCode="0_ "/>
  </numFmts>
  <fonts count="4" x14ac:knownFonts="1">
    <font>
      <sz val="11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b/>
      <sz val="11"/>
      <color theme="1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6">
    <xf numFmtId="0" fontId="0" fillId="0" borderId="0" xfId="0"/>
    <xf numFmtId="176" fontId="0" fillId="0" borderId="0" xfId="0" applyNumberFormat="1"/>
    <xf numFmtId="4" fontId="0" fillId="0" borderId="0" xfId="0" applyNumberFormat="1"/>
    <xf numFmtId="0" fontId="0" fillId="2" borderId="0" xfId="0" applyFill="1"/>
    <xf numFmtId="49" fontId="0" fillId="3" borderId="0" xfId="0" applyNumberFormat="1" applyFill="1"/>
    <xf numFmtId="0" fontId="0" fillId="3" borderId="0" xfId="0" applyFill="1" applyAlignment="1">
      <alignment horizontal="left"/>
    </xf>
    <xf numFmtId="14" fontId="0" fillId="0" borderId="0" xfId="0" applyNumberFormat="1"/>
    <xf numFmtId="177" fontId="3" fillId="0" borderId="0" xfId="0" applyNumberFormat="1" applyFont="1" applyAlignment="1">
      <alignment horizontal="left"/>
    </xf>
    <xf numFmtId="14" fontId="0" fillId="0" borderId="1" xfId="0" applyNumberFormat="1" applyFill="1" applyBorder="1"/>
    <xf numFmtId="177" fontId="0" fillId="0" borderId="0" xfId="0" applyNumberFormat="1" applyAlignment="1">
      <alignment horizontal="lef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" xfId="0" pivotButton="1" applyBorder="1"/>
    <xf numFmtId="0" fontId="0" fillId="0" borderId="5" xfId="0" applyBorder="1"/>
    <xf numFmtId="0" fontId="0" fillId="0" borderId="6" xfId="0" applyBorder="1"/>
    <xf numFmtId="14" fontId="0" fillId="0" borderId="7" xfId="0" applyNumberFormat="1" applyBorder="1"/>
    <xf numFmtId="14" fontId="0" fillId="0" borderId="8" xfId="0" applyNumberFormat="1" applyBorder="1"/>
    <xf numFmtId="0" fontId="0" fillId="0" borderId="2" xfId="0" applyNumberFormat="1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5" xfId="0" applyNumberFormat="1" applyBorder="1"/>
    <xf numFmtId="0" fontId="0" fillId="0" borderId="0" xfId="0" applyNumberFormat="1"/>
    <xf numFmtId="0" fontId="0" fillId="0" borderId="9" xfId="0" applyNumberFormat="1" applyBorder="1"/>
    <xf numFmtId="0" fontId="0" fillId="0" borderId="6" xfId="0" applyNumberFormat="1" applyBorder="1"/>
    <xf numFmtId="0" fontId="0" fillId="0" borderId="10" xfId="0" applyNumberFormat="1" applyBorder="1"/>
    <xf numFmtId="0" fontId="0" fillId="0" borderId="11" xfId="0" applyNumberFormat="1" applyBorder="1"/>
    <xf numFmtId="0" fontId="0" fillId="4" borderId="5" xfId="0" applyFill="1" applyBorder="1"/>
    <xf numFmtId="14" fontId="0" fillId="5" borderId="2" xfId="0" applyNumberFormat="1" applyFill="1" applyBorder="1"/>
    <xf numFmtId="14" fontId="0" fillId="5" borderId="7" xfId="0" applyNumberFormat="1" applyFill="1" applyBorder="1"/>
    <xf numFmtId="0" fontId="0" fillId="5" borderId="5" xfId="0" applyFill="1" applyBorder="1"/>
    <xf numFmtId="0" fontId="0" fillId="5" borderId="0" xfId="0" applyNumberFormat="1" applyFill="1"/>
    <xf numFmtId="0" fontId="0" fillId="5" borderId="5" xfId="0" applyNumberFormat="1" applyFill="1" applyBorder="1"/>
    <xf numFmtId="0" fontId="0" fillId="6" borderId="0" xfId="0" applyFill="1"/>
    <xf numFmtId="14" fontId="3" fillId="6" borderId="1" xfId="0" applyNumberFormat="1" applyFont="1" applyFill="1" applyBorder="1"/>
    <xf numFmtId="0" fontId="0" fillId="6" borderId="0" xfId="0" applyFill="1" applyAlignment="1">
      <alignment horizontal="left"/>
    </xf>
  </cellXfs>
  <cellStyles count="1">
    <cellStyle name="一般" xfId="0" builtinId="0"/>
  </cellStyles>
  <dxfs count="15">
    <dxf>
      <fill>
        <patternFill patternType="solid">
          <bgColor rgb="FFFF99FF"/>
        </patternFill>
      </fill>
    </dxf>
    <dxf>
      <fill>
        <patternFill patternType="solid">
          <bgColor rgb="FFFF99FF"/>
        </patternFill>
      </fill>
    </dxf>
    <dxf>
      <fill>
        <patternFill patternType="solid">
          <bgColor rgb="FFFF99FF"/>
        </patternFill>
      </fill>
    </dxf>
    <dxf>
      <fill>
        <patternFill patternType="solid">
          <bgColor rgb="FFFF99FF"/>
        </patternFill>
      </fill>
    </dxf>
    <dxf>
      <fill>
        <patternFill patternType="solid">
          <bgColor rgb="FFFF99FF"/>
        </patternFill>
      </fill>
    </dxf>
    <dxf>
      <fill>
        <patternFill patternType="solid">
          <bgColor rgb="FFFF99FF"/>
        </patternFill>
      </fill>
    </dxf>
    <dxf>
      <fill>
        <patternFill patternType="solid">
          <bgColor rgb="FFFF99FF"/>
        </patternFill>
      </fill>
    </dxf>
    <dxf>
      <fill>
        <patternFill patternType="solid">
          <bgColor rgb="FFFF99FF"/>
        </patternFill>
      </fill>
    </dxf>
    <dxf>
      <fill>
        <patternFill patternType="solid">
          <bgColor rgb="FFFF99FF"/>
        </patternFill>
      </fill>
    </dxf>
    <dxf>
      <fill>
        <patternFill>
          <bgColor rgb="FFFF99FF"/>
        </patternFill>
      </fill>
    </dxf>
    <dxf>
      <fill>
        <patternFill patternType="solid">
          <bgColor rgb="FFFF99CC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indy Lu" refreshedDate="42039.444526967593" createdVersion="1" refreshedVersion="3" recordCount="89" upgradeOnRefresh="1">
  <cacheSource type="worksheet">
    <worksheetSource ref="C1:M90" sheet="HZ"/>
  </cacheSource>
  <cacheFields count="11">
    <cacheField name="Material" numFmtId="0">
      <sharedItems count="20">
        <s v="179260"/>
        <s v="195204-C01"/>
        <s v="195208-C01"/>
        <s v="195209-C01"/>
        <s v="195210-C01"/>
        <s v="196755-C01"/>
        <s v="309442-C02"/>
        <s v="41391-268-51"/>
        <s v="41391-268-52"/>
        <s v="41391-298-51"/>
        <s v="75040-219-01"/>
        <s v="75040-220-01"/>
        <s v="77189-125-02"/>
        <s v="PN-18057"/>
        <s v="PN-18060"/>
        <s v="PN-27698"/>
        <s v="PN-90720"/>
        <s v="R5816-535"/>
        <s v="R5816-615"/>
        <s v="R5816-617"/>
      </sharedItems>
    </cacheField>
    <cacheField name="Material Description" numFmtId="0">
      <sharedItems/>
    </cacheField>
    <cacheField name="Plant" numFmtId="0">
      <sharedItems/>
    </cacheField>
    <cacheField name="POrg" numFmtId="0">
      <sharedItems/>
    </cacheField>
    <cacheField name="ETA" numFmtId="0">
      <sharedItems containsSemiMixedTypes="0" containsNonDate="0" containsDate="1" containsString="0" minDate="2015-03-02T00:00:00" maxDate="2015-08-25T00:00:00" count="25">
        <d v="2015-07-27T00:00:00"/>
        <d v="2015-04-13T00:00:00"/>
        <d v="2015-05-11T00:00:00"/>
        <d v="2015-06-08T00:00:00"/>
        <d v="2015-07-13T00:00:00"/>
        <d v="2015-08-10T00:00:00"/>
        <d v="2015-05-18T00:00:00"/>
        <d v="2015-06-29T00:00:00"/>
        <d v="2015-08-03T00:00:00"/>
        <d v="2015-04-06T00:00:00"/>
        <d v="2015-06-01T00:00:00"/>
        <d v="2015-07-06T00:00:00"/>
        <d v="2015-03-30T00:00:00"/>
        <d v="2015-05-04T00:00:00"/>
        <d v="2015-08-24T00:00:00"/>
        <d v="2015-04-20T00:00:00"/>
        <d v="2015-03-09T00:00:00"/>
        <d v="2015-04-27T00:00:00"/>
        <d v="2015-06-15T00:00:00"/>
        <d v="2015-03-02T00:00:00"/>
        <d v="2015-03-23T00:00:00"/>
        <d v="2015-05-25T00:00:00"/>
        <d v="2015-06-22T00:00:00"/>
        <d v="2015-07-20T00:00:00"/>
        <d v="2015-08-17T00:00:00"/>
      </sharedItems>
    </cacheField>
    <cacheField name="WEEKS" numFmtId="0">
      <sharedItems/>
    </cacheField>
    <cacheField name="Week" numFmtId="0">
      <sharedItems/>
    </cacheField>
    <cacheField name="UoM" numFmtId="0">
      <sharedItems/>
    </cacheField>
    <cacheField name="PGrp" numFmtId="0">
      <sharedItems/>
    </cacheField>
    <cacheField name="Version" numFmtId="0">
      <sharedItems/>
    </cacheField>
    <cacheField name="Order Quantity" numFmtId="0">
      <sharedItems containsSemiMixedTypes="0" containsString="0" containsNumber="1" containsInteger="1" minValue="50" maxValue="1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">
  <r>
    <x v="0"/>
    <s v="WIRE,RIBBON,ASSY., CABLE, RIBBON, 34FOR"/>
    <s v="1100"/>
    <s v="NA"/>
    <x v="0"/>
    <s v="31"/>
    <s v="31/2015"/>
    <s v="EA"/>
    <s v="178"/>
    <s v="999"/>
    <n v="1000"/>
  </r>
  <r>
    <x v="1"/>
    <s v="WIRE,RIBBON,CABLE,CONTROLTO GATE BD,40 P"/>
    <s v="1100"/>
    <s v="NA"/>
    <x v="1"/>
    <s v="16"/>
    <s v="16/2015"/>
    <s v="EA"/>
    <s v="178"/>
    <s v="999"/>
    <n v="400"/>
  </r>
  <r>
    <x v="1"/>
    <s v="WIRE,RIBBON,CABLE,CONTROLTO GATE BD,40 P"/>
    <s v="1100"/>
    <s v="NA"/>
    <x v="2"/>
    <s v="20"/>
    <s v="20/2015"/>
    <s v="EA"/>
    <s v="178"/>
    <s v="999"/>
    <n v="400"/>
  </r>
  <r>
    <x v="1"/>
    <s v="WIRE,RIBBON,CABLE,CONTROLTO GATE BD,40 P"/>
    <s v="1100"/>
    <s v="NA"/>
    <x v="3"/>
    <s v="24"/>
    <s v="24/2015"/>
    <s v="EA"/>
    <s v="178"/>
    <s v="999"/>
    <n v="400"/>
  </r>
  <r>
    <x v="1"/>
    <s v="WIRE,RIBBON,CABLE,CONTROLTO GATE BD,40 P"/>
    <s v="1100"/>
    <s v="NA"/>
    <x v="4"/>
    <s v="29"/>
    <s v="29/2015"/>
    <s v="EA"/>
    <s v="178"/>
    <s v="999"/>
    <n v="400"/>
  </r>
  <r>
    <x v="1"/>
    <s v="WIRE,RIBBON,CABLE,CONTROLTO GATE BD,40 P"/>
    <s v="1100"/>
    <s v="NA"/>
    <x v="5"/>
    <s v="33"/>
    <s v="33/2015"/>
    <s v="EA"/>
    <s v="178"/>
    <s v="999"/>
    <n v="400"/>
  </r>
  <r>
    <x v="2"/>
    <s v="WIRE HRNS ASSY,SMPS J1 TO GATE POWER BD,"/>
    <s v="1100"/>
    <s v="NA"/>
    <x v="1"/>
    <s v="16"/>
    <s v="16/2015"/>
    <s v="EA"/>
    <s v="178"/>
    <s v="999"/>
    <n v="500"/>
  </r>
  <r>
    <x v="2"/>
    <s v="WIRE HRNS ASSY,SMPS J1 TO GATE POWER BD,"/>
    <s v="1100"/>
    <s v="NA"/>
    <x v="6"/>
    <s v="21"/>
    <s v="21/2015"/>
    <s v="EA"/>
    <s v="178"/>
    <s v="999"/>
    <n v="500"/>
  </r>
  <r>
    <x v="2"/>
    <s v="WIRE HRNS ASSY,SMPS J1 TO GATE POWER BD,"/>
    <s v="1100"/>
    <s v="NA"/>
    <x v="7"/>
    <s v="27"/>
    <s v="27/2015"/>
    <s v="EA"/>
    <s v="178"/>
    <s v="999"/>
    <n v="500"/>
  </r>
  <r>
    <x v="2"/>
    <s v="WIRE HRNS ASSY,SMPS J1 TO GATE POWER BD,"/>
    <s v="1100"/>
    <s v="NA"/>
    <x v="8"/>
    <s v="32"/>
    <s v="32/2015"/>
    <s v="EA"/>
    <s v="178"/>
    <s v="999"/>
    <n v="500"/>
  </r>
  <r>
    <x v="3"/>
    <s v="WIRE HRNS ASSY,SMPS TO GATE POW J2,FRAME"/>
    <s v="1100"/>
    <s v="NA"/>
    <x v="9"/>
    <s v="15"/>
    <s v="15/2015"/>
    <s v="EA"/>
    <s v="178"/>
    <s v="999"/>
    <n v="700"/>
  </r>
  <r>
    <x v="3"/>
    <s v="WIRE HRNS ASSY,SMPS TO GATE POW J2,FRAME"/>
    <s v="1100"/>
    <s v="NA"/>
    <x v="10"/>
    <s v="23"/>
    <s v="23/2015"/>
    <s v="EA"/>
    <s v="178"/>
    <s v="999"/>
    <n v="700"/>
  </r>
  <r>
    <x v="3"/>
    <s v="WIRE HRNS ASSY,SMPS TO GATE POW J2,FRAME"/>
    <s v="1100"/>
    <s v="NA"/>
    <x v="0"/>
    <s v="31"/>
    <s v="31/2015"/>
    <s v="EA"/>
    <s v="178"/>
    <s v="999"/>
    <n v="700"/>
  </r>
  <r>
    <x v="4"/>
    <s v="WIRE HRNS ASSY,SMPS TOGATE POWER J12,FRA"/>
    <s v="1100"/>
    <s v="NA"/>
    <x v="2"/>
    <s v="20"/>
    <s v="20/2015"/>
    <s v="EA"/>
    <s v="178"/>
    <s v="999"/>
    <n v="700"/>
  </r>
  <r>
    <x v="4"/>
    <s v="WIRE HRNS ASSY,SMPS TOGATE POWER J12,FRA"/>
    <s v="1100"/>
    <s v="NA"/>
    <x v="11"/>
    <s v="28"/>
    <s v="28/2015"/>
    <s v="EA"/>
    <s v="178"/>
    <s v="999"/>
    <n v="700"/>
  </r>
  <r>
    <x v="5"/>
    <s v="WIRE,OTHER,CABLE,CTRL-COM INTFC,FRAME 5"/>
    <s v="1100"/>
    <s v="NA"/>
    <x v="12"/>
    <s v="14"/>
    <s v="14/2015"/>
    <s v="EA"/>
    <s v="178"/>
    <s v="999"/>
    <n v="500"/>
  </r>
  <r>
    <x v="5"/>
    <s v="WIRE,OTHER,CABLE,CTRL-COM INTFC,FRAME 5"/>
    <s v="1100"/>
    <s v="NA"/>
    <x v="13"/>
    <s v="19"/>
    <s v="19/2015"/>
    <s v="EA"/>
    <s v="178"/>
    <s v="999"/>
    <n v="500"/>
  </r>
  <r>
    <x v="5"/>
    <s v="WIRE,OTHER,CABLE,CTRL-COM INTFC,FRAME 5"/>
    <s v="1100"/>
    <s v="NA"/>
    <x v="3"/>
    <s v="24"/>
    <s v="24/2015"/>
    <s v="EA"/>
    <s v="178"/>
    <s v="999"/>
    <n v="500"/>
  </r>
  <r>
    <x v="5"/>
    <s v="WIRE,OTHER,CABLE,CTRL-COM INTFC,FRAME 5"/>
    <s v="1100"/>
    <s v="NA"/>
    <x v="4"/>
    <s v="29"/>
    <s v="29/2015"/>
    <s v="EA"/>
    <s v="178"/>
    <s v="999"/>
    <n v="500"/>
  </r>
  <r>
    <x v="5"/>
    <s v="WIRE,OTHER,CABLE,CTRL-COM INTFC,FRAME 5"/>
    <s v="1100"/>
    <s v="NA"/>
    <x v="14"/>
    <s v="35"/>
    <s v="35/2015"/>
    <s v="EA"/>
    <s v="178"/>
    <s v="999"/>
    <n v="500"/>
  </r>
  <r>
    <x v="6"/>
    <s v="WIRE HRNS ASSY,18AWG,600V,PWR INT TO IGB"/>
    <s v="1100"/>
    <s v="NA"/>
    <x v="15"/>
    <s v="17"/>
    <s v="17/2015"/>
    <s v="EA"/>
    <s v="178"/>
    <s v="999"/>
    <n v="300"/>
  </r>
  <r>
    <x v="6"/>
    <s v="WIRE HRNS ASSY,18AWG,600V,PWR INT TO IGB"/>
    <s v="1100"/>
    <s v="NA"/>
    <x v="3"/>
    <s v="24"/>
    <s v="24/2015"/>
    <s v="EA"/>
    <s v="178"/>
    <s v="999"/>
    <n v="300"/>
  </r>
  <r>
    <x v="6"/>
    <s v="WIRE HRNS ASSY,18AWG,600V,PWR INT TO IGB"/>
    <s v="1100"/>
    <s v="NA"/>
    <x v="8"/>
    <s v="32"/>
    <s v="32/2015"/>
    <s v="EA"/>
    <s v="178"/>
    <s v="999"/>
    <n v="300"/>
  </r>
  <r>
    <x v="7"/>
    <s v="WIRING HARNESS"/>
    <s v="1150"/>
    <s v="NA"/>
    <x v="16"/>
    <s v="11"/>
    <s v="11/2015"/>
    <s v="EA"/>
    <s v="178"/>
    <s v="999"/>
    <n v="600"/>
  </r>
  <r>
    <x v="7"/>
    <s v="WIRING HARNESS"/>
    <s v="1150"/>
    <s v="NA"/>
    <x v="17"/>
    <s v="18"/>
    <s v="18/2015"/>
    <s v="EA"/>
    <s v="178"/>
    <s v="999"/>
    <n v="600"/>
  </r>
  <r>
    <x v="7"/>
    <s v="WIRING HARNESS"/>
    <s v="1150"/>
    <s v="NA"/>
    <x v="18"/>
    <s v="25"/>
    <s v="25/2015"/>
    <s v="EA"/>
    <s v="178"/>
    <s v="999"/>
    <n v="600"/>
  </r>
  <r>
    <x v="7"/>
    <s v="WIRING HARNESS"/>
    <s v="1150"/>
    <s v="NA"/>
    <x v="8"/>
    <s v="32"/>
    <s v="32/2015"/>
    <s v="EA"/>
    <s v="178"/>
    <s v="999"/>
    <n v="600"/>
  </r>
  <r>
    <x v="8"/>
    <s v="WIRING HARNESS"/>
    <s v="1150"/>
    <s v="NA"/>
    <x v="2"/>
    <s v="20"/>
    <s v="20/2015"/>
    <s v="EA"/>
    <s v="178"/>
    <s v="999"/>
    <n v="2700"/>
  </r>
  <r>
    <x v="8"/>
    <s v="WIRING HARNESS"/>
    <s v="1150"/>
    <s v="NA"/>
    <x v="14"/>
    <s v="35"/>
    <s v="35/2015"/>
    <s v="EA"/>
    <s v="178"/>
    <s v="999"/>
    <n v="2700"/>
  </r>
  <r>
    <x v="9"/>
    <s v="WIRING HARNESS"/>
    <s v="1150"/>
    <s v="NA"/>
    <x v="19"/>
    <s v="10"/>
    <s v="10/2015"/>
    <s v="EA"/>
    <s v="178"/>
    <s v="999"/>
    <n v="1000"/>
  </r>
  <r>
    <x v="9"/>
    <s v="WIRING HARNESS"/>
    <s v="1150"/>
    <s v="NA"/>
    <x v="20"/>
    <s v="13"/>
    <s v="13/2015"/>
    <s v="EA"/>
    <s v="178"/>
    <s v="999"/>
    <n v="1000"/>
  </r>
  <r>
    <x v="9"/>
    <s v="WIRING HARNESS"/>
    <s v="1150"/>
    <s v="NA"/>
    <x v="9"/>
    <s v="15"/>
    <s v="15/2015"/>
    <s v="EA"/>
    <s v="178"/>
    <s v="999"/>
    <n v="1000"/>
  </r>
  <r>
    <x v="9"/>
    <s v="WIRING HARNESS"/>
    <s v="1150"/>
    <s v="NA"/>
    <x v="15"/>
    <s v="17"/>
    <s v="17/2015"/>
    <s v="EA"/>
    <s v="178"/>
    <s v="999"/>
    <n v="1000"/>
  </r>
  <r>
    <x v="9"/>
    <s v="WIRING HARNESS"/>
    <s v="1150"/>
    <s v="NA"/>
    <x v="2"/>
    <s v="20"/>
    <s v="20/2015"/>
    <s v="EA"/>
    <s v="178"/>
    <s v="999"/>
    <n v="1000"/>
  </r>
  <r>
    <x v="9"/>
    <s v="WIRING HARNESS"/>
    <s v="1150"/>
    <s v="NA"/>
    <x v="21"/>
    <s v="22"/>
    <s v="22/2015"/>
    <s v="EA"/>
    <s v="178"/>
    <s v="999"/>
    <n v="1000"/>
  </r>
  <r>
    <x v="9"/>
    <s v="WIRING HARNESS"/>
    <s v="1150"/>
    <s v="NA"/>
    <x v="3"/>
    <s v="24"/>
    <s v="24/2015"/>
    <s v="EA"/>
    <s v="178"/>
    <s v="999"/>
    <n v="1000"/>
  </r>
  <r>
    <x v="9"/>
    <s v="WIRING HARNESS"/>
    <s v="1150"/>
    <s v="NA"/>
    <x v="22"/>
    <s v="26"/>
    <s v="26/2015"/>
    <s v="EA"/>
    <s v="178"/>
    <s v="999"/>
    <n v="1000"/>
  </r>
  <r>
    <x v="9"/>
    <s v="WIRING HARNESS"/>
    <s v="1150"/>
    <s v="NA"/>
    <x v="4"/>
    <s v="29"/>
    <s v="29/2015"/>
    <s v="EA"/>
    <s v="178"/>
    <s v="999"/>
    <n v="1000"/>
  </r>
  <r>
    <x v="9"/>
    <s v="WIRING HARNESS"/>
    <s v="1150"/>
    <s v="NA"/>
    <x v="0"/>
    <s v="31"/>
    <s v="31/2015"/>
    <s v="EA"/>
    <s v="178"/>
    <s v="999"/>
    <n v="1000"/>
  </r>
  <r>
    <x v="9"/>
    <s v="WIRING HARNESS"/>
    <s v="1150"/>
    <s v="NA"/>
    <x v="5"/>
    <s v="33"/>
    <s v="33/2015"/>
    <s v="EA"/>
    <s v="178"/>
    <s v="999"/>
    <n v="1000"/>
  </r>
  <r>
    <x v="9"/>
    <s v="WIRING HARNESS"/>
    <s v="1150"/>
    <s v="NA"/>
    <x v="14"/>
    <s v="35"/>
    <s v="35/2015"/>
    <s v="EA"/>
    <s v="178"/>
    <s v="999"/>
    <n v="1000"/>
  </r>
  <r>
    <x v="10"/>
    <s v="HI FLEX PUR CABLE"/>
    <s v="1150"/>
    <s v="NA"/>
    <x v="17"/>
    <s v="18"/>
    <s v="18/2015"/>
    <s v="FT"/>
    <s v="178"/>
    <s v="999"/>
    <n v="10000"/>
  </r>
  <r>
    <x v="10"/>
    <s v="HI FLEX PUR CABLE"/>
    <s v="1150"/>
    <s v="NA"/>
    <x v="18"/>
    <s v="25"/>
    <s v="25/2015"/>
    <s v="FT"/>
    <s v="178"/>
    <s v="999"/>
    <n v="10000"/>
  </r>
  <r>
    <x v="10"/>
    <s v="HI FLEX PUR CABLE"/>
    <s v="1150"/>
    <s v="NA"/>
    <x v="0"/>
    <s v="31"/>
    <s v="31/2015"/>
    <s v="FT"/>
    <s v="178"/>
    <s v="999"/>
    <n v="10000"/>
  </r>
  <r>
    <x v="11"/>
    <s v="HI FLEX PUR CABLE"/>
    <s v="1150"/>
    <s v="NA"/>
    <x v="3"/>
    <s v="24"/>
    <s v="24/2015"/>
    <s v="FT"/>
    <s v="178"/>
    <s v="999"/>
    <n v="5000"/>
  </r>
  <r>
    <x v="12"/>
    <s v="CROSS-OVER PATCH CABLE"/>
    <s v="1040"/>
    <s v="NA"/>
    <x v="10"/>
    <s v="23"/>
    <s v="23/2015"/>
    <s v="EA"/>
    <s v="178"/>
    <s v="999"/>
    <n v="600"/>
  </r>
  <r>
    <x v="13"/>
    <s v="BUL. 1492 DBL OVERMOLD CABLE - 37 PIN"/>
    <s v="1080"/>
    <s v="NA"/>
    <x v="12"/>
    <s v="14"/>
    <s v="14/2015"/>
    <s v="EA"/>
    <s v="178"/>
    <s v="999"/>
    <n v="100"/>
  </r>
  <r>
    <x v="13"/>
    <s v="BUL. 1492 DBL OVERMOLD CABLE - 37 PIN"/>
    <s v="1080"/>
    <s v="NA"/>
    <x v="9"/>
    <s v="15"/>
    <s v="15/2015"/>
    <s v="EA"/>
    <s v="178"/>
    <s v="999"/>
    <n v="100"/>
  </r>
  <r>
    <x v="13"/>
    <s v="BUL. 1492 DBL OVERMOLD CABLE - 37 PIN"/>
    <s v="1080"/>
    <s v="NA"/>
    <x v="1"/>
    <s v="16"/>
    <s v="16/2015"/>
    <s v="EA"/>
    <s v="178"/>
    <s v="999"/>
    <n v="100"/>
  </r>
  <r>
    <x v="13"/>
    <s v="BUL. 1492 DBL OVERMOLD CABLE - 37 PIN"/>
    <s v="1080"/>
    <s v="NA"/>
    <x v="15"/>
    <s v="17"/>
    <s v="17/2015"/>
    <s v="EA"/>
    <s v="178"/>
    <s v="999"/>
    <n v="100"/>
  </r>
  <r>
    <x v="13"/>
    <s v="BUL. 1492 DBL OVERMOLD CABLE - 37 PIN"/>
    <s v="1080"/>
    <s v="NA"/>
    <x v="17"/>
    <s v="18"/>
    <s v="18/2015"/>
    <s v="EA"/>
    <s v="178"/>
    <s v="999"/>
    <n v="100"/>
  </r>
  <r>
    <x v="13"/>
    <s v="BUL. 1492 DBL OVERMOLD CABLE - 37 PIN"/>
    <s v="1080"/>
    <s v="NA"/>
    <x v="13"/>
    <s v="19"/>
    <s v="19/2015"/>
    <s v="EA"/>
    <s v="178"/>
    <s v="999"/>
    <n v="100"/>
  </r>
  <r>
    <x v="13"/>
    <s v="BUL. 1492 DBL OVERMOLD CABLE - 37 PIN"/>
    <s v="1080"/>
    <s v="NA"/>
    <x v="6"/>
    <s v="21"/>
    <s v="21/2015"/>
    <s v="EA"/>
    <s v="178"/>
    <s v="999"/>
    <n v="150"/>
  </r>
  <r>
    <x v="13"/>
    <s v="BUL. 1492 DBL OVERMOLD CABLE - 37 PIN"/>
    <s v="1080"/>
    <s v="NA"/>
    <x v="10"/>
    <s v="23"/>
    <s v="23/2015"/>
    <s v="EA"/>
    <s v="178"/>
    <s v="999"/>
    <n v="100"/>
  </r>
  <r>
    <x v="13"/>
    <s v="BUL. 1492 DBL OVERMOLD CABLE - 37 PIN"/>
    <s v="1080"/>
    <s v="NA"/>
    <x v="3"/>
    <s v="24"/>
    <s v="24/2015"/>
    <s v="EA"/>
    <s v="178"/>
    <s v="999"/>
    <n v="100"/>
  </r>
  <r>
    <x v="13"/>
    <s v="BUL. 1492 DBL OVERMOLD CABLE - 37 PIN"/>
    <s v="1080"/>
    <s v="NA"/>
    <x v="18"/>
    <s v="25"/>
    <s v="25/2015"/>
    <s v="EA"/>
    <s v="178"/>
    <s v="999"/>
    <n v="150"/>
  </r>
  <r>
    <x v="13"/>
    <s v="BUL. 1492 DBL OVERMOLD CABLE - 37 PIN"/>
    <s v="1080"/>
    <s v="NA"/>
    <x v="22"/>
    <s v="26"/>
    <s v="26/2015"/>
    <s v="EA"/>
    <s v="178"/>
    <s v="999"/>
    <n v="100"/>
  </r>
  <r>
    <x v="13"/>
    <s v="BUL. 1492 DBL OVERMOLD CABLE - 37 PIN"/>
    <s v="1080"/>
    <s v="NA"/>
    <x v="11"/>
    <s v="28"/>
    <s v="28/2015"/>
    <s v="EA"/>
    <s v="178"/>
    <s v="999"/>
    <n v="100"/>
  </r>
  <r>
    <x v="13"/>
    <s v="BUL. 1492 DBL OVERMOLD CABLE - 37 PIN"/>
    <s v="1080"/>
    <s v="NA"/>
    <x v="4"/>
    <s v="29"/>
    <s v="29/2015"/>
    <s v="EA"/>
    <s v="178"/>
    <s v="999"/>
    <n v="100"/>
  </r>
  <r>
    <x v="13"/>
    <s v="BUL. 1492 DBL OVERMOLD CABLE - 37 PIN"/>
    <s v="1080"/>
    <s v="NA"/>
    <x v="23"/>
    <s v="30"/>
    <s v="30/2015"/>
    <s v="EA"/>
    <s v="178"/>
    <s v="999"/>
    <n v="100"/>
  </r>
  <r>
    <x v="13"/>
    <s v="BUL. 1492 DBL OVERMOLD CABLE - 37 PIN"/>
    <s v="1080"/>
    <s v="NA"/>
    <x v="8"/>
    <s v="32"/>
    <s v="32/2015"/>
    <s v="EA"/>
    <s v="178"/>
    <s v="999"/>
    <n v="100"/>
  </r>
  <r>
    <x v="13"/>
    <s v="BUL. 1492 DBL OVERMOLD CABLE - 37 PIN"/>
    <s v="1080"/>
    <s v="NA"/>
    <x v="5"/>
    <s v="33"/>
    <s v="33/2015"/>
    <s v="EA"/>
    <s v="178"/>
    <s v="999"/>
    <n v="100"/>
  </r>
  <r>
    <x v="13"/>
    <s v="BUL. 1492 DBL OVERMOLD CABLE - 37 PIN"/>
    <s v="1080"/>
    <s v="NA"/>
    <x v="24"/>
    <s v="34"/>
    <s v="34/2015"/>
    <s v="EA"/>
    <s v="178"/>
    <s v="999"/>
    <n v="100"/>
  </r>
  <r>
    <x v="13"/>
    <s v="BUL. 1492 DBL OVERMOLD CABLE - 37 PIN"/>
    <s v="1080"/>
    <s v="NA"/>
    <x v="14"/>
    <s v="35"/>
    <s v="35/2015"/>
    <s v="EA"/>
    <s v="178"/>
    <s v="999"/>
    <n v="100"/>
  </r>
  <r>
    <x v="14"/>
    <s v="BUL. 1492 DBL OVERMOLD CABLE - 25 PIN"/>
    <s v="1080"/>
    <s v="NA"/>
    <x v="6"/>
    <s v="21"/>
    <s v="21/2015"/>
    <s v="EA"/>
    <s v="178"/>
    <s v="999"/>
    <n v="50"/>
  </r>
  <r>
    <x v="14"/>
    <s v="BUL. 1492 DBL OVERMOLD CABLE - 25 PIN"/>
    <s v="1080"/>
    <s v="NA"/>
    <x v="22"/>
    <s v="26"/>
    <s v="26/2015"/>
    <s v="EA"/>
    <s v="178"/>
    <s v="999"/>
    <n v="50"/>
  </r>
  <r>
    <x v="14"/>
    <s v="BUL. 1492 DBL OVERMOLD CABLE - 25 PIN"/>
    <s v="1080"/>
    <s v="NA"/>
    <x v="23"/>
    <s v="30"/>
    <s v="30/2015"/>
    <s v="EA"/>
    <s v="178"/>
    <s v="999"/>
    <n v="50"/>
  </r>
  <r>
    <x v="14"/>
    <s v="BUL. 1492 DBL OVERMOLD CABLE - 25 PIN"/>
    <s v="1080"/>
    <s v="NA"/>
    <x v="24"/>
    <s v="34"/>
    <s v="34/2015"/>
    <s v="EA"/>
    <s v="178"/>
    <s v="999"/>
    <n v="50"/>
  </r>
  <r>
    <x v="15"/>
    <s v="BUL. 1492 DBL OVERMOLD CABLE - 25 PIN"/>
    <s v="1080"/>
    <s v="NA"/>
    <x v="20"/>
    <s v="13"/>
    <s v="13/2015"/>
    <s v="EA"/>
    <s v="178"/>
    <s v="999"/>
    <n v="250"/>
  </r>
  <r>
    <x v="15"/>
    <s v="BUL. 1492 DBL OVERMOLD CABLE - 25 PIN"/>
    <s v="1080"/>
    <s v="NA"/>
    <x v="9"/>
    <s v="15"/>
    <s v="15/2015"/>
    <s v="EA"/>
    <s v="178"/>
    <s v="999"/>
    <n v="250"/>
  </r>
  <r>
    <x v="15"/>
    <s v="BUL. 1492 DBL OVERMOLD CABLE - 25 PIN"/>
    <s v="1080"/>
    <s v="NA"/>
    <x v="15"/>
    <s v="17"/>
    <s v="17/2015"/>
    <s v="EA"/>
    <s v="178"/>
    <s v="999"/>
    <n v="250"/>
  </r>
  <r>
    <x v="15"/>
    <s v="BUL. 1492 DBL OVERMOLD CABLE - 25 PIN"/>
    <s v="1080"/>
    <s v="NA"/>
    <x v="13"/>
    <s v="19"/>
    <s v="19/2015"/>
    <s v="EA"/>
    <s v="178"/>
    <s v="999"/>
    <n v="250"/>
  </r>
  <r>
    <x v="15"/>
    <s v="BUL. 1492 DBL OVERMOLD CABLE - 25 PIN"/>
    <s v="1080"/>
    <s v="NA"/>
    <x v="6"/>
    <s v="21"/>
    <s v="21/2015"/>
    <s v="EA"/>
    <s v="178"/>
    <s v="999"/>
    <n v="250"/>
  </r>
  <r>
    <x v="15"/>
    <s v="BUL. 1492 DBL OVERMOLD CABLE - 25 PIN"/>
    <s v="1080"/>
    <s v="NA"/>
    <x v="10"/>
    <s v="23"/>
    <s v="23/2015"/>
    <s v="EA"/>
    <s v="178"/>
    <s v="999"/>
    <n v="250"/>
  </r>
  <r>
    <x v="15"/>
    <s v="BUL. 1492 DBL OVERMOLD CABLE - 25 PIN"/>
    <s v="1080"/>
    <s v="NA"/>
    <x v="22"/>
    <s v="26"/>
    <s v="26/2015"/>
    <s v="EA"/>
    <s v="178"/>
    <s v="999"/>
    <n v="250"/>
  </r>
  <r>
    <x v="15"/>
    <s v="BUL. 1492 DBL OVERMOLD CABLE - 25 PIN"/>
    <s v="1080"/>
    <s v="NA"/>
    <x v="11"/>
    <s v="28"/>
    <s v="28/2015"/>
    <s v="EA"/>
    <s v="178"/>
    <s v="999"/>
    <n v="250"/>
  </r>
  <r>
    <x v="15"/>
    <s v="BUL. 1492 DBL OVERMOLD CABLE - 25 PIN"/>
    <s v="1080"/>
    <s v="NA"/>
    <x v="23"/>
    <s v="30"/>
    <s v="30/2015"/>
    <s v="EA"/>
    <s v="178"/>
    <s v="999"/>
    <n v="250"/>
  </r>
  <r>
    <x v="15"/>
    <s v="BUL. 1492 DBL OVERMOLD CABLE - 25 PIN"/>
    <s v="1080"/>
    <s v="NA"/>
    <x v="8"/>
    <s v="32"/>
    <s v="32/2015"/>
    <s v="EA"/>
    <s v="178"/>
    <s v="999"/>
    <n v="250"/>
  </r>
  <r>
    <x v="15"/>
    <s v="BUL. 1492 DBL OVERMOLD CABLE - 25 PIN"/>
    <s v="1080"/>
    <s v="NA"/>
    <x v="24"/>
    <s v="34"/>
    <s v="34/2015"/>
    <s v="EA"/>
    <s v="178"/>
    <s v="999"/>
    <n v="250"/>
  </r>
  <r>
    <x v="16"/>
    <s v="BUL.150-S, WRG HARNESS, NON BYPASS W/JMP"/>
    <s v="1150"/>
    <s v="NA"/>
    <x v="24"/>
    <s v="34"/>
    <s v="34/2015"/>
    <s v="EA"/>
    <s v="178"/>
    <s v="999"/>
    <n v="500"/>
  </r>
  <r>
    <x v="17"/>
    <s v="18AWG 40COND NON-SHD CBL"/>
    <s v="1080"/>
    <s v="NA"/>
    <x v="2"/>
    <s v="20"/>
    <s v="20/2015"/>
    <s v="FT"/>
    <s v="178"/>
    <s v="999"/>
    <n v="5000"/>
  </r>
  <r>
    <x v="17"/>
    <s v="18AWG 40COND NON-SHD CBL"/>
    <s v="1080"/>
    <s v="NA"/>
    <x v="4"/>
    <s v="29"/>
    <s v="29/2015"/>
    <s v="FT"/>
    <s v="178"/>
    <s v="999"/>
    <n v="5000"/>
  </r>
  <r>
    <x v="18"/>
    <s v="22AWG 20COND SHD CBL"/>
    <s v="1080"/>
    <s v="NA"/>
    <x v="10"/>
    <s v="23"/>
    <s v="23/2015"/>
    <s v="FT"/>
    <s v="178"/>
    <s v="999"/>
    <n v="5000"/>
  </r>
  <r>
    <x v="18"/>
    <s v="22AWG 20COND SHD CBL"/>
    <s v="1080"/>
    <s v="NA"/>
    <x v="11"/>
    <s v="28"/>
    <s v="28/2015"/>
    <s v="FT"/>
    <s v="178"/>
    <s v="999"/>
    <n v="5000"/>
  </r>
  <r>
    <x v="18"/>
    <s v="22AWG 20COND SHD CBL"/>
    <s v="1080"/>
    <s v="NA"/>
    <x v="24"/>
    <s v="34"/>
    <s v="34/2015"/>
    <s v="FT"/>
    <s v="178"/>
    <s v="999"/>
    <n v="5000"/>
  </r>
  <r>
    <x v="19"/>
    <s v="22AWG 9 TW PR SHD CBLE"/>
    <s v="1080"/>
    <s v="NA"/>
    <x v="13"/>
    <s v="19"/>
    <s v="19/2015"/>
    <s v="FT"/>
    <s v="178"/>
    <s v="999"/>
    <n v="5000"/>
  </r>
  <r>
    <x v="19"/>
    <s v="22AWG 9 TW PR SHD CBLE"/>
    <s v="1080"/>
    <s v="NA"/>
    <x v="18"/>
    <s v="25"/>
    <s v="25/2015"/>
    <s v="FT"/>
    <s v="178"/>
    <s v="999"/>
    <n v="5000"/>
  </r>
  <r>
    <x v="19"/>
    <s v="22AWG 9 TW PR SHD CBLE"/>
    <s v="1080"/>
    <s v="NA"/>
    <x v="23"/>
    <s v="30"/>
    <s v="30/2015"/>
    <s v="FT"/>
    <s v="178"/>
    <s v="999"/>
    <n v="5000"/>
  </r>
  <r>
    <x v="19"/>
    <s v="22AWG 9 TW PR SHD CBLE"/>
    <s v="1080"/>
    <s v="NA"/>
    <x v="14"/>
    <s v="35"/>
    <s v="35/2015"/>
    <s v="FT"/>
    <s v="178"/>
    <s v="999"/>
    <n v="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2" cacheId="1" dataOnRows="1" applyNumberFormats="0" applyBorderFormats="0" applyFontFormats="0" applyPatternFormats="0" applyAlignmentFormats="0" applyWidthHeightFormats="1" dataCaption="資料" updatedVersion="3" showMemberPropertyTips="0" useAutoFormatting="1" itemPrintTitles="1" createdVersion="1" indent="0" compact="0" compactData="0" gridDropZones="1">
  <location ref="A3:AA25" firstHeaderRow="1" firstDataRow="2" firstDataCol="1"/>
  <pivotFields count="11">
    <pivotField axis="axisRow" compact="0" outline="0" subtotalTop="0" showAll="0" includeNewItemsInFilter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numFmtId="14" outline="0" subtotalTop="0" showAll="0" includeNewItemsInFilter="1">
      <items count="26">
        <item x="19"/>
        <item x="16"/>
        <item x="20"/>
        <item x="12"/>
        <item x="9"/>
        <item x="1"/>
        <item x="15"/>
        <item x="17"/>
        <item x="13"/>
        <item x="2"/>
        <item x="6"/>
        <item x="21"/>
        <item x="10"/>
        <item x="3"/>
        <item x="18"/>
        <item x="22"/>
        <item x="7"/>
        <item x="11"/>
        <item x="4"/>
        <item x="23"/>
        <item x="0"/>
        <item x="8"/>
        <item x="5"/>
        <item x="24"/>
        <item x="14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numFmtId="176" outline="0" subtotalTop="0" showAll="0" includeNewItemsInFilter="1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4"/>
  </colFields>
  <col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colItems>
  <dataFields count="1">
    <dataField name="加總 - Order Quantity" fld="10" baseField="0" baseItem="0"/>
  </dataFields>
  <formats count="15">
    <format dxfId="14">
      <pivotArea dataOnly="0" labelOnly="1" outline="0" fieldPosition="0">
        <references count="1">
          <reference field="0" count="1">
            <x v="11"/>
          </reference>
        </references>
      </pivotArea>
    </format>
    <format dxfId="13">
      <pivotArea dataOnly="0" labelOnly="1" outline="0" fieldPosition="0">
        <references count="1">
          <reference field="0" count="1">
            <x v="12"/>
          </reference>
        </references>
      </pivotArea>
    </format>
    <format dxfId="12">
      <pivotArea dataOnly="0" labelOnly="1" outline="0" fieldPosition="0">
        <references count="1">
          <reference field="0" count="1">
            <x v="16"/>
          </reference>
        </references>
      </pivotArea>
    </format>
    <format dxfId="11">
      <pivotArea dataOnly="0" labelOnly="1" outline="0" fieldPosition="0">
        <references count="1">
          <reference field="0" count="1">
            <x v="17"/>
          </reference>
        </references>
      </pivotArea>
    </format>
    <format dxfId="10">
      <pivotArea dataOnly="0" labelOnly="1" outline="0" fieldPosition="0">
        <references count="1">
          <reference field="4" count="1">
            <x v="0"/>
          </reference>
        </references>
      </pivotArea>
    </format>
    <format dxfId="9">
      <pivotArea dataOnly="0" labelOnly="1" outline="0" fieldPosition="0">
        <references count="1">
          <reference field="4" count="1">
            <x v="0"/>
          </reference>
        </references>
      </pivotArea>
    </format>
    <format dxfId="8">
      <pivotArea dataOnly="0" labelOnly="1" outline="0" fieldPosition="0">
        <references count="1">
          <reference field="4" count="1">
            <x v="1"/>
          </reference>
        </references>
      </pivotArea>
    </format>
    <format dxfId="7">
      <pivotArea dataOnly="0" labelOnly="1" outline="0" fieldPosition="0">
        <references count="1">
          <reference field="4" count="1">
            <x v="2"/>
          </reference>
        </references>
      </pivotArea>
    </format>
    <format dxfId="6">
      <pivotArea dataOnly="0" labelOnly="1" outline="0" fieldPosition="0">
        <references count="1">
          <reference field="0" count="1">
            <x v="7"/>
          </reference>
        </references>
      </pivotArea>
    </format>
    <format dxfId="5">
      <pivotArea dataOnly="0" labelOnly="1" outline="0" fieldPosition="0">
        <references count="1">
          <reference field="0" count="1">
            <x v="9"/>
          </reference>
        </references>
      </pivotArea>
    </format>
    <format dxfId="4">
      <pivotArea dataOnly="0" labelOnly="1" outline="0" fieldPosition="0">
        <references count="1">
          <reference field="0" count="1">
            <x v="15"/>
          </reference>
        </references>
      </pivotArea>
    </format>
    <format dxfId="3">
      <pivotArea outline="0" fieldPosition="0">
        <references count="2">
          <reference field="0" count="1" selected="0">
            <x v="15"/>
          </reference>
          <reference field="4" count="1" selected="0">
            <x v="2"/>
          </reference>
        </references>
      </pivotArea>
    </format>
    <format dxfId="2">
      <pivotArea outline="0" fieldPosition="0">
        <references count="2">
          <reference field="0" count="1" selected="0">
            <x v="9"/>
          </reference>
          <reference field="4" count="1" selected="0">
            <x v="2"/>
          </reference>
        </references>
      </pivotArea>
    </format>
    <format dxfId="1">
      <pivotArea outline="0" fieldPosition="0">
        <references count="2">
          <reference field="0" count="1" selected="0">
            <x v="7"/>
          </reference>
          <reference field="4" count="1" selected="0">
            <x v="1"/>
          </reference>
        </references>
      </pivotArea>
    </format>
    <format dxfId="0">
      <pivotArea outline="0" fieldPosition="0">
        <references count="2">
          <reference field="0" count="1" selected="0">
            <x v="9"/>
          </reference>
          <reference field="4" count="1" selected="0">
            <x v="0"/>
          </reference>
        </references>
      </pivotArea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3:AA25"/>
  <sheetViews>
    <sheetView workbookViewId="0">
      <selection activeCell="B14" sqref="B14"/>
    </sheetView>
  </sheetViews>
  <sheetFormatPr defaultRowHeight="15.75" x14ac:dyDescent="0.25"/>
  <cols>
    <col min="1" max="1" width="21.42578125" bestFit="1" customWidth="1"/>
    <col min="2" max="26" width="9.85546875" bestFit="1" customWidth="1"/>
    <col min="27" max="27" width="7.7109375" bestFit="1" customWidth="1"/>
  </cols>
  <sheetData>
    <row r="3" spans="1:27" x14ac:dyDescent="0.25">
      <c r="A3" s="13" t="s">
        <v>93</v>
      </c>
      <c r="B3" s="13" t="s">
        <v>92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2"/>
    </row>
    <row r="4" spans="1:27" x14ac:dyDescent="0.25">
      <c r="A4" s="13" t="s">
        <v>76</v>
      </c>
      <c r="B4" s="28">
        <v>42065</v>
      </c>
      <c r="C4" s="29">
        <v>42072</v>
      </c>
      <c r="D4" s="29">
        <v>42086</v>
      </c>
      <c r="E4" s="16">
        <v>42093</v>
      </c>
      <c r="F4" s="16">
        <v>42100</v>
      </c>
      <c r="G4" s="16">
        <v>42107</v>
      </c>
      <c r="H4" s="16">
        <v>42114</v>
      </c>
      <c r="I4" s="16">
        <v>42121</v>
      </c>
      <c r="J4" s="16">
        <v>42128</v>
      </c>
      <c r="K4" s="16">
        <v>42135</v>
      </c>
      <c r="L4" s="16">
        <v>42142</v>
      </c>
      <c r="M4" s="16">
        <v>42149</v>
      </c>
      <c r="N4" s="16">
        <v>42156</v>
      </c>
      <c r="O4" s="16">
        <v>42163</v>
      </c>
      <c r="P4" s="16">
        <v>42170</v>
      </c>
      <c r="Q4" s="16">
        <v>42177</v>
      </c>
      <c r="R4" s="16">
        <v>42184</v>
      </c>
      <c r="S4" s="16">
        <v>42191</v>
      </c>
      <c r="T4" s="16">
        <v>42198</v>
      </c>
      <c r="U4" s="16">
        <v>42205</v>
      </c>
      <c r="V4" s="16">
        <v>42212</v>
      </c>
      <c r="W4" s="16">
        <v>42219</v>
      </c>
      <c r="X4" s="16">
        <v>42226</v>
      </c>
      <c r="Y4" s="16">
        <v>42233</v>
      </c>
      <c r="Z4" s="16">
        <v>42240</v>
      </c>
      <c r="AA4" s="17" t="s">
        <v>91</v>
      </c>
    </row>
    <row r="5" spans="1:27" x14ac:dyDescent="0.25">
      <c r="A5" s="10" t="s">
        <v>7</v>
      </c>
      <c r="B5" s="18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>
        <v>1000</v>
      </c>
      <c r="W5" s="19"/>
      <c r="X5" s="19"/>
      <c r="Y5" s="19"/>
      <c r="Z5" s="19"/>
      <c r="AA5" s="20">
        <v>1000</v>
      </c>
    </row>
    <row r="6" spans="1:27" x14ac:dyDescent="0.25">
      <c r="A6" s="14" t="s">
        <v>34</v>
      </c>
      <c r="B6" s="21"/>
      <c r="C6" s="22"/>
      <c r="D6" s="22"/>
      <c r="E6" s="22"/>
      <c r="F6" s="22"/>
      <c r="G6" s="22">
        <v>400</v>
      </c>
      <c r="H6" s="22"/>
      <c r="I6" s="22"/>
      <c r="J6" s="22"/>
      <c r="K6" s="22">
        <v>400</v>
      </c>
      <c r="L6" s="22"/>
      <c r="M6" s="22"/>
      <c r="N6" s="22"/>
      <c r="O6" s="22">
        <v>400</v>
      </c>
      <c r="P6" s="22"/>
      <c r="Q6" s="22"/>
      <c r="R6" s="22"/>
      <c r="S6" s="22"/>
      <c r="T6" s="22">
        <v>400</v>
      </c>
      <c r="U6" s="22"/>
      <c r="V6" s="22"/>
      <c r="W6" s="22"/>
      <c r="X6" s="22">
        <v>400</v>
      </c>
      <c r="Y6" s="22"/>
      <c r="Z6" s="22"/>
      <c r="AA6" s="23">
        <v>2000</v>
      </c>
    </row>
    <row r="7" spans="1:27" x14ac:dyDescent="0.25">
      <c r="A7" s="14" t="s">
        <v>36</v>
      </c>
      <c r="B7" s="21"/>
      <c r="C7" s="22"/>
      <c r="D7" s="22"/>
      <c r="E7" s="22"/>
      <c r="F7" s="22"/>
      <c r="G7" s="22">
        <v>500</v>
      </c>
      <c r="H7" s="22"/>
      <c r="I7" s="22"/>
      <c r="J7" s="22"/>
      <c r="K7" s="22"/>
      <c r="L7" s="22">
        <v>500</v>
      </c>
      <c r="M7" s="22"/>
      <c r="N7" s="22"/>
      <c r="O7" s="22"/>
      <c r="P7" s="22"/>
      <c r="Q7" s="22"/>
      <c r="R7" s="22">
        <v>500</v>
      </c>
      <c r="S7" s="22"/>
      <c r="T7" s="22"/>
      <c r="U7" s="22"/>
      <c r="V7" s="22"/>
      <c r="W7" s="22">
        <v>500</v>
      </c>
      <c r="X7" s="22"/>
      <c r="Y7" s="22"/>
      <c r="Z7" s="22"/>
      <c r="AA7" s="23">
        <v>2000</v>
      </c>
    </row>
    <row r="8" spans="1:27" x14ac:dyDescent="0.25">
      <c r="A8" s="14" t="s">
        <v>38</v>
      </c>
      <c r="B8" s="21"/>
      <c r="C8" s="22"/>
      <c r="D8" s="22"/>
      <c r="E8" s="22"/>
      <c r="F8" s="22">
        <v>700</v>
      </c>
      <c r="G8" s="22"/>
      <c r="H8" s="22"/>
      <c r="I8" s="22"/>
      <c r="J8" s="22"/>
      <c r="K8" s="22"/>
      <c r="L8" s="22"/>
      <c r="M8" s="22"/>
      <c r="N8" s="22">
        <v>700</v>
      </c>
      <c r="O8" s="22"/>
      <c r="P8" s="22"/>
      <c r="Q8" s="22"/>
      <c r="R8" s="22"/>
      <c r="S8" s="22"/>
      <c r="T8" s="22"/>
      <c r="U8" s="22"/>
      <c r="V8" s="22">
        <v>700</v>
      </c>
      <c r="W8" s="22"/>
      <c r="X8" s="22"/>
      <c r="Y8" s="22"/>
      <c r="Z8" s="22"/>
      <c r="AA8" s="23">
        <v>2100</v>
      </c>
    </row>
    <row r="9" spans="1:27" x14ac:dyDescent="0.25">
      <c r="A9" s="14" t="s">
        <v>40</v>
      </c>
      <c r="B9" s="21"/>
      <c r="C9" s="22"/>
      <c r="D9" s="22"/>
      <c r="E9" s="22"/>
      <c r="F9" s="22"/>
      <c r="G9" s="22"/>
      <c r="H9" s="22"/>
      <c r="I9" s="22"/>
      <c r="J9" s="22"/>
      <c r="K9" s="22">
        <v>700</v>
      </c>
      <c r="L9" s="22"/>
      <c r="M9" s="22"/>
      <c r="N9" s="22"/>
      <c r="O9" s="22"/>
      <c r="P9" s="22"/>
      <c r="Q9" s="22"/>
      <c r="R9" s="22"/>
      <c r="S9" s="22">
        <v>700</v>
      </c>
      <c r="T9" s="22"/>
      <c r="U9" s="22"/>
      <c r="V9" s="22"/>
      <c r="W9" s="22"/>
      <c r="X9" s="22"/>
      <c r="Y9" s="22"/>
      <c r="Z9" s="22"/>
      <c r="AA9" s="23">
        <v>1400</v>
      </c>
    </row>
    <row r="10" spans="1:27" x14ac:dyDescent="0.25">
      <c r="A10" s="14" t="s">
        <v>42</v>
      </c>
      <c r="B10" s="21"/>
      <c r="C10" s="22"/>
      <c r="D10" s="22"/>
      <c r="E10" s="22">
        <v>500</v>
      </c>
      <c r="F10" s="22"/>
      <c r="G10" s="22"/>
      <c r="H10" s="22"/>
      <c r="I10" s="22"/>
      <c r="J10" s="22">
        <v>500</v>
      </c>
      <c r="K10" s="22"/>
      <c r="L10" s="22"/>
      <c r="M10" s="22"/>
      <c r="N10" s="22"/>
      <c r="O10" s="22">
        <v>500</v>
      </c>
      <c r="P10" s="22"/>
      <c r="Q10" s="22"/>
      <c r="R10" s="22"/>
      <c r="S10" s="22"/>
      <c r="T10" s="22">
        <v>500</v>
      </c>
      <c r="U10" s="22"/>
      <c r="V10" s="22"/>
      <c r="W10" s="22"/>
      <c r="X10" s="22"/>
      <c r="Y10" s="22"/>
      <c r="Z10" s="22">
        <v>500</v>
      </c>
      <c r="AA10" s="23">
        <v>2500</v>
      </c>
    </row>
    <row r="11" spans="1:27" x14ac:dyDescent="0.25">
      <c r="A11" s="14" t="s">
        <v>44</v>
      </c>
      <c r="B11" s="21"/>
      <c r="C11" s="22"/>
      <c r="D11" s="22"/>
      <c r="E11" s="22"/>
      <c r="F11" s="22"/>
      <c r="G11" s="22"/>
      <c r="H11" s="22">
        <v>300</v>
      </c>
      <c r="I11" s="22"/>
      <c r="J11" s="22"/>
      <c r="K11" s="22"/>
      <c r="L11" s="22"/>
      <c r="M11" s="22"/>
      <c r="N11" s="22"/>
      <c r="O11" s="22">
        <v>300</v>
      </c>
      <c r="P11" s="22"/>
      <c r="Q11" s="22"/>
      <c r="R11" s="22"/>
      <c r="S11" s="22"/>
      <c r="T11" s="22"/>
      <c r="U11" s="22"/>
      <c r="V11" s="22"/>
      <c r="W11" s="22">
        <v>300</v>
      </c>
      <c r="X11" s="22"/>
      <c r="Y11" s="22"/>
      <c r="Z11" s="22"/>
      <c r="AA11" s="23">
        <v>900</v>
      </c>
    </row>
    <row r="12" spans="1:27" x14ac:dyDescent="0.25">
      <c r="A12" s="30" t="s">
        <v>46</v>
      </c>
      <c r="B12" s="21"/>
      <c r="C12" s="31">
        <v>600</v>
      </c>
      <c r="D12" s="22"/>
      <c r="E12" s="22"/>
      <c r="F12" s="22"/>
      <c r="G12" s="22"/>
      <c r="H12" s="22"/>
      <c r="I12" s="22">
        <v>600</v>
      </c>
      <c r="J12" s="22"/>
      <c r="K12" s="22"/>
      <c r="L12" s="22"/>
      <c r="M12" s="22"/>
      <c r="N12" s="22"/>
      <c r="O12" s="22"/>
      <c r="P12" s="22">
        <v>600</v>
      </c>
      <c r="Q12" s="22"/>
      <c r="R12" s="22"/>
      <c r="S12" s="22"/>
      <c r="T12" s="22"/>
      <c r="U12" s="22"/>
      <c r="V12" s="22"/>
      <c r="W12" s="22">
        <v>600</v>
      </c>
      <c r="X12" s="22"/>
      <c r="Y12" s="22"/>
      <c r="Z12" s="22"/>
      <c r="AA12" s="23">
        <v>2400</v>
      </c>
    </row>
    <row r="13" spans="1:27" x14ac:dyDescent="0.25">
      <c r="A13" s="14" t="s">
        <v>49</v>
      </c>
      <c r="B13" s="21"/>
      <c r="C13" s="22"/>
      <c r="D13" s="22"/>
      <c r="E13" s="22"/>
      <c r="F13" s="22"/>
      <c r="G13" s="22"/>
      <c r="H13" s="22"/>
      <c r="I13" s="22"/>
      <c r="J13" s="22"/>
      <c r="K13" s="22">
        <v>2700</v>
      </c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>
        <v>2700</v>
      </c>
      <c r="AA13" s="23">
        <v>5400</v>
      </c>
    </row>
    <row r="14" spans="1:27" x14ac:dyDescent="0.25">
      <c r="A14" s="30" t="s">
        <v>50</v>
      </c>
      <c r="B14" s="32">
        <v>1000</v>
      </c>
      <c r="C14" s="22"/>
      <c r="D14" s="31">
        <v>1000</v>
      </c>
      <c r="E14" s="22"/>
      <c r="F14" s="22">
        <v>1000</v>
      </c>
      <c r="G14" s="22"/>
      <c r="H14" s="22">
        <v>1000</v>
      </c>
      <c r="I14" s="22"/>
      <c r="J14" s="22"/>
      <c r="K14" s="22">
        <v>1000</v>
      </c>
      <c r="L14" s="22"/>
      <c r="M14" s="22">
        <v>1000</v>
      </c>
      <c r="N14" s="22"/>
      <c r="O14" s="22">
        <v>1000</v>
      </c>
      <c r="P14" s="22"/>
      <c r="Q14" s="22">
        <v>1000</v>
      </c>
      <c r="R14" s="22"/>
      <c r="S14" s="22"/>
      <c r="T14" s="22">
        <v>1000</v>
      </c>
      <c r="U14" s="22"/>
      <c r="V14" s="22">
        <v>1000</v>
      </c>
      <c r="W14" s="22"/>
      <c r="X14" s="22">
        <v>1000</v>
      </c>
      <c r="Y14" s="22"/>
      <c r="Z14" s="22">
        <v>1000</v>
      </c>
      <c r="AA14" s="23">
        <v>12000</v>
      </c>
    </row>
    <row r="15" spans="1:27" x14ac:dyDescent="0.25">
      <c r="A15" s="14" t="s">
        <v>51</v>
      </c>
      <c r="B15" s="21"/>
      <c r="C15" s="22"/>
      <c r="D15" s="22"/>
      <c r="E15" s="22"/>
      <c r="F15" s="22"/>
      <c r="G15" s="22"/>
      <c r="H15" s="22"/>
      <c r="I15" s="22">
        <v>10000</v>
      </c>
      <c r="J15" s="22"/>
      <c r="K15" s="22"/>
      <c r="L15" s="22"/>
      <c r="M15" s="22"/>
      <c r="N15" s="22"/>
      <c r="O15" s="22"/>
      <c r="P15" s="22">
        <v>10000</v>
      </c>
      <c r="Q15" s="22"/>
      <c r="R15" s="22"/>
      <c r="S15" s="22"/>
      <c r="T15" s="22"/>
      <c r="U15" s="22"/>
      <c r="V15" s="22">
        <v>10000</v>
      </c>
      <c r="W15" s="22"/>
      <c r="X15" s="22"/>
      <c r="Y15" s="22"/>
      <c r="Z15" s="22"/>
      <c r="AA15" s="23">
        <v>30000</v>
      </c>
    </row>
    <row r="16" spans="1:27" x14ac:dyDescent="0.25">
      <c r="A16" s="27" t="s">
        <v>54</v>
      </c>
      <c r="B16" s="21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>
        <v>5000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3">
        <v>5000</v>
      </c>
    </row>
    <row r="17" spans="1:27" x14ac:dyDescent="0.25">
      <c r="A17" s="27" t="s">
        <v>55</v>
      </c>
      <c r="B17" s="21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>
        <v>600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3">
        <v>600</v>
      </c>
    </row>
    <row r="18" spans="1:27" x14ac:dyDescent="0.25">
      <c r="A18" s="14" t="s">
        <v>59</v>
      </c>
      <c r="B18" s="21"/>
      <c r="C18" s="22"/>
      <c r="D18" s="22"/>
      <c r="E18" s="22">
        <v>100</v>
      </c>
      <c r="F18" s="22">
        <v>100</v>
      </c>
      <c r="G18" s="22">
        <v>100</v>
      </c>
      <c r="H18" s="22">
        <v>100</v>
      </c>
      <c r="I18" s="22">
        <v>100</v>
      </c>
      <c r="J18" s="22">
        <v>100</v>
      </c>
      <c r="K18" s="22"/>
      <c r="L18" s="22">
        <v>150</v>
      </c>
      <c r="M18" s="22"/>
      <c r="N18" s="22">
        <v>100</v>
      </c>
      <c r="O18" s="22">
        <v>100</v>
      </c>
      <c r="P18" s="22">
        <v>150</v>
      </c>
      <c r="Q18" s="22">
        <v>100</v>
      </c>
      <c r="R18" s="22"/>
      <c r="S18" s="22">
        <v>100</v>
      </c>
      <c r="T18" s="22">
        <v>100</v>
      </c>
      <c r="U18" s="22">
        <v>100</v>
      </c>
      <c r="V18" s="22"/>
      <c r="W18" s="22">
        <v>100</v>
      </c>
      <c r="X18" s="22">
        <v>100</v>
      </c>
      <c r="Y18" s="22">
        <v>100</v>
      </c>
      <c r="Z18" s="22">
        <v>100</v>
      </c>
      <c r="AA18" s="23">
        <v>1900</v>
      </c>
    </row>
    <row r="19" spans="1:27" x14ac:dyDescent="0.25">
      <c r="A19" s="14" t="s">
        <v>61</v>
      </c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>
        <v>50</v>
      </c>
      <c r="M19" s="22"/>
      <c r="N19" s="22"/>
      <c r="O19" s="22"/>
      <c r="P19" s="22"/>
      <c r="Q19" s="22">
        <v>50</v>
      </c>
      <c r="R19" s="22"/>
      <c r="S19" s="22"/>
      <c r="T19" s="22"/>
      <c r="U19" s="22">
        <v>50</v>
      </c>
      <c r="V19" s="22"/>
      <c r="W19" s="22"/>
      <c r="X19" s="22"/>
      <c r="Y19" s="22">
        <v>50</v>
      </c>
      <c r="Z19" s="22"/>
      <c r="AA19" s="23">
        <v>200</v>
      </c>
    </row>
    <row r="20" spans="1:27" x14ac:dyDescent="0.25">
      <c r="A20" s="30" t="s">
        <v>63</v>
      </c>
      <c r="B20" s="21"/>
      <c r="C20" s="22"/>
      <c r="D20" s="31">
        <v>250</v>
      </c>
      <c r="E20" s="22"/>
      <c r="F20" s="22">
        <v>250</v>
      </c>
      <c r="G20" s="22"/>
      <c r="H20" s="22">
        <v>250</v>
      </c>
      <c r="I20" s="22"/>
      <c r="J20" s="22">
        <v>250</v>
      </c>
      <c r="K20" s="22"/>
      <c r="L20" s="22">
        <v>250</v>
      </c>
      <c r="M20" s="22"/>
      <c r="N20" s="22">
        <v>250</v>
      </c>
      <c r="O20" s="22"/>
      <c r="P20" s="22"/>
      <c r="Q20" s="22">
        <v>250</v>
      </c>
      <c r="R20" s="22"/>
      <c r="S20" s="22">
        <v>250</v>
      </c>
      <c r="T20" s="22"/>
      <c r="U20" s="22">
        <v>250</v>
      </c>
      <c r="V20" s="22"/>
      <c r="W20" s="22">
        <v>250</v>
      </c>
      <c r="X20" s="22"/>
      <c r="Y20" s="22">
        <v>250</v>
      </c>
      <c r="Z20" s="22"/>
      <c r="AA20" s="23">
        <v>2750</v>
      </c>
    </row>
    <row r="21" spans="1:27" x14ac:dyDescent="0.25">
      <c r="A21" s="27" t="s">
        <v>64</v>
      </c>
      <c r="B21" s="21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>
        <v>500</v>
      </c>
      <c r="Z21" s="22"/>
      <c r="AA21" s="23">
        <v>500</v>
      </c>
    </row>
    <row r="22" spans="1:27" x14ac:dyDescent="0.25">
      <c r="A22" s="27" t="s">
        <v>66</v>
      </c>
      <c r="B22" s="21"/>
      <c r="C22" s="22"/>
      <c r="D22" s="22"/>
      <c r="E22" s="22"/>
      <c r="F22" s="22"/>
      <c r="G22" s="22"/>
      <c r="H22" s="22"/>
      <c r="I22" s="22"/>
      <c r="J22" s="22"/>
      <c r="K22" s="22">
        <v>5000</v>
      </c>
      <c r="L22" s="22"/>
      <c r="M22" s="22"/>
      <c r="N22" s="22"/>
      <c r="O22" s="22"/>
      <c r="P22" s="22"/>
      <c r="Q22" s="22"/>
      <c r="R22" s="22"/>
      <c r="S22" s="22"/>
      <c r="T22" s="22">
        <v>5000</v>
      </c>
      <c r="U22" s="22"/>
      <c r="V22" s="22"/>
      <c r="W22" s="22"/>
      <c r="X22" s="22"/>
      <c r="Y22" s="22"/>
      <c r="Z22" s="22"/>
      <c r="AA22" s="23">
        <v>10000</v>
      </c>
    </row>
    <row r="23" spans="1:27" x14ac:dyDescent="0.25">
      <c r="A23" s="14" t="s">
        <v>68</v>
      </c>
      <c r="B23" s="21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>
        <v>5000</v>
      </c>
      <c r="O23" s="22"/>
      <c r="P23" s="22"/>
      <c r="Q23" s="22"/>
      <c r="R23" s="22"/>
      <c r="S23" s="22">
        <v>5000</v>
      </c>
      <c r="T23" s="22"/>
      <c r="U23" s="22"/>
      <c r="V23" s="22"/>
      <c r="W23" s="22"/>
      <c r="X23" s="22"/>
      <c r="Y23" s="22">
        <v>5000</v>
      </c>
      <c r="Z23" s="22"/>
      <c r="AA23" s="23">
        <v>15000</v>
      </c>
    </row>
    <row r="24" spans="1:27" x14ac:dyDescent="0.25">
      <c r="A24" s="14" t="s">
        <v>70</v>
      </c>
      <c r="B24" s="21"/>
      <c r="C24" s="22"/>
      <c r="D24" s="22"/>
      <c r="E24" s="22"/>
      <c r="F24" s="22"/>
      <c r="G24" s="22"/>
      <c r="H24" s="22"/>
      <c r="I24" s="22"/>
      <c r="J24" s="22">
        <v>5000</v>
      </c>
      <c r="K24" s="22"/>
      <c r="L24" s="22"/>
      <c r="M24" s="22"/>
      <c r="N24" s="22"/>
      <c r="O24" s="22"/>
      <c r="P24" s="22">
        <v>5000</v>
      </c>
      <c r="Q24" s="22"/>
      <c r="R24" s="22"/>
      <c r="S24" s="22"/>
      <c r="T24" s="22"/>
      <c r="U24" s="22">
        <v>5000</v>
      </c>
      <c r="V24" s="22"/>
      <c r="W24" s="22"/>
      <c r="X24" s="22"/>
      <c r="Y24" s="22"/>
      <c r="Z24" s="22">
        <v>5000</v>
      </c>
      <c r="AA24" s="23">
        <v>20000</v>
      </c>
    </row>
    <row r="25" spans="1:27" x14ac:dyDescent="0.25">
      <c r="A25" s="15" t="s">
        <v>91</v>
      </c>
      <c r="B25" s="24">
        <v>1000</v>
      </c>
      <c r="C25" s="25">
        <v>600</v>
      </c>
      <c r="D25" s="25">
        <v>1250</v>
      </c>
      <c r="E25" s="25">
        <v>600</v>
      </c>
      <c r="F25" s="25">
        <v>2050</v>
      </c>
      <c r="G25" s="25">
        <v>1000</v>
      </c>
      <c r="H25" s="25">
        <v>1650</v>
      </c>
      <c r="I25" s="25">
        <v>10700</v>
      </c>
      <c r="J25" s="25">
        <v>5850</v>
      </c>
      <c r="K25" s="25">
        <v>9800</v>
      </c>
      <c r="L25" s="25">
        <v>950</v>
      </c>
      <c r="M25" s="25">
        <v>1000</v>
      </c>
      <c r="N25" s="25">
        <v>6650</v>
      </c>
      <c r="O25" s="25">
        <v>7300</v>
      </c>
      <c r="P25" s="25">
        <v>15750</v>
      </c>
      <c r="Q25" s="25">
        <v>1400</v>
      </c>
      <c r="R25" s="25">
        <v>500</v>
      </c>
      <c r="S25" s="25">
        <v>6050</v>
      </c>
      <c r="T25" s="25">
        <v>7000</v>
      </c>
      <c r="U25" s="25">
        <v>5400</v>
      </c>
      <c r="V25" s="25">
        <v>12700</v>
      </c>
      <c r="W25" s="25">
        <v>1750</v>
      </c>
      <c r="X25" s="25">
        <v>1500</v>
      </c>
      <c r="Y25" s="25">
        <v>5900</v>
      </c>
      <c r="Z25" s="25">
        <v>9300</v>
      </c>
      <c r="AA25" s="26">
        <v>117650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90"/>
  <sheetViews>
    <sheetView tabSelected="1" topLeftCell="A7" workbookViewId="0">
      <selection activeCell="D9" sqref="D9"/>
    </sheetView>
  </sheetViews>
  <sheetFormatPr defaultRowHeight="15.75" x14ac:dyDescent="0.25"/>
  <cols>
    <col min="1" max="1" width="8" bestFit="1" customWidth="1"/>
    <col min="2" max="2" width="25.5703125" bestFit="1" customWidth="1"/>
    <col min="3" max="3" width="13.5703125" bestFit="1" customWidth="1"/>
    <col min="4" max="4" width="43.7109375" bestFit="1" customWidth="1"/>
    <col min="5" max="5" width="5.5703125" bestFit="1" customWidth="1"/>
    <col min="6" max="6" width="5.28515625" bestFit="1" customWidth="1"/>
    <col min="7" max="7" width="10.7109375" customWidth="1"/>
    <col min="8" max="8" width="11.42578125" customWidth="1"/>
    <col min="9" max="9" width="7.85546875" bestFit="1" customWidth="1"/>
    <col min="10" max="10" width="5.140625" bestFit="1" customWidth="1"/>
    <col min="11" max="11" width="5.28515625" bestFit="1" customWidth="1"/>
    <col min="12" max="12" width="7.85546875" bestFit="1" customWidth="1"/>
    <col min="13" max="13" width="14.42578125" bestFit="1" customWidth="1"/>
    <col min="14" max="14" width="12.85546875" bestFit="1" customWidth="1"/>
    <col min="15" max="15" width="9.7109375" bestFit="1" customWidth="1"/>
    <col min="16" max="16" width="9.28515625" bestFit="1" customWidth="1"/>
  </cols>
  <sheetData>
    <row r="1" spans="1:19" x14ac:dyDescent="0.25">
      <c r="A1" s="3" t="s">
        <v>74</v>
      </c>
      <c r="B1" s="3" t="s">
        <v>75</v>
      </c>
      <c r="C1" s="33" t="s">
        <v>76</v>
      </c>
      <c r="D1" s="3" t="s">
        <v>77</v>
      </c>
      <c r="E1" s="3" t="s">
        <v>78</v>
      </c>
      <c r="F1" s="3" t="s">
        <v>79</v>
      </c>
      <c r="G1" s="34" t="s">
        <v>88</v>
      </c>
      <c r="H1" s="7" t="s">
        <v>89</v>
      </c>
      <c r="I1" s="3" t="s">
        <v>80</v>
      </c>
      <c r="J1" s="3" t="s">
        <v>81</v>
      </c>
      <c r="K1" s="3" t="s">
        <v>82</v>
      </c>
      <c r="L1" s="3" t="s">
        <v>83</v>
      </c>
      <c r="M1" s="35" t="s">
        <v>72</v>
      </c>
      <c r="N1" s="5" t="s">
        <v>73</v>
      </c>
      <c r="O1" t="s">
        <v>84</v>
      </c>
      <c r="P1" t="s">
        <v>85</v>
      </c>
      <c r="Q1" t="s">
        <v>86</v>
      </c>
      <c r="R1" t="s">
        <v>87</v>
      </c>
    </row>
    <row r="2" spans="1:19" x14ac:dyDescent="0.25">
      <c r="A2" s="4" t="s">
        <v>0</v>
      </c>
      <c r="B2" s="4" t="s">
        <v>1</v>
      </c>
      <c r="C2" s="4" t="s">
        <v>7</v>
      </c>
      <c r="D2" s="4" t="s">
        <v>8</v>
      </c>
      <c r="E2" s="4" t="s">
        <v>2</v>
      </c>
      <c r="F2" s="4" t="s">
        <v>3</v>
      </c>
      <c r="G2" s="8">
        <f>DATE(2015,1,H2*7-9)</f>
        <v>42212</v>
      </c>
      <c r="H2" s="9" t="str">
        <f>MID(I2,1,2)</f>
        <v>31</v>
      </c>
      <c r="I2" s="4" t="s">
        <v>9</v>
      </c>
      <c r="J2" s="4" t="s">
        <v>4</v>
      </c>
      <c r="K2" s="4" t="s">
        <v>5</v>
      </c>
      <c r="L2" s="4" t="s">
        <v>6</v>
      </c>
      <c r="M2" s="1">
        <v>1000</v>
      </c>
      <c r="N2" s="2">
        <v>2480</v>
      </c>
      <c r="O2" s="6">
        <f>DATE(RIGHT(I2,4),1,1)+((LEFT(I2,2)-1)*7)-WEEKDAY(DATE(RIGHT(I2,4),1,1)+(LEFT(I2,2)-1)*7,2)+IF(RIGHT(I2,4)="2010",15,8)</f>
        <v>42219</v>
      </c>
      <c r="P2" s="6">
        <f>DATE(YEAR(O2),MONTH(O2),1)</f>
        <v>42217</v>
      </c>
      <c r="Q2">
        <f>MONTH(P2)</f>
        <v>8</v>
      </c>
      <c r="R2">
        <f>YEAR(P2)</f>
        <v>2015</v>
      </c>
      <c r="S2" t="s">
        <v>90</v>
      </c>
    </row>
    <row r="3" spans="1:19" x14ac:dyDescent="0.25">
      <c r="A3" s="4" t="s">
        <v>0</v>
      </c>
      <c r="B3" s="4" t="s">
        <v>1</v>
      </c>
      <c r="C3" s="4" t="s">
        <v>34</v>
      </c>
      <c r="D3" s="4" t="s">
        <v>35</v>
      </c>
      <c r="E3" s="4" t="s">
        <v>2</v>
      </c>
      <c r="F3" s="4" t="s">
        <v>3</v>
      </c>
      <c r="G3" s="8">
        <f t="shared" ref="G3:G47" si="0">DATE(2015,1,H3*7-9)</f>
        <v>42107</v>
      </c>
      <c r="H3" s="9" t="str">
        <f t="shared" ref="H3:H47" si="1">MID(I3,1,2)</f>
        <v>16</v>
      </c>
      <c r="I3" s="4" t="s">
        <v>27</v>
      </c>
      <c r="J3" s="4" t="s">
        <v>4</v>
      </c>
      <c r="K3" s="4" t="s">
        <v>5</v>
      </c>
      <c r="L3" s="4" t="s">
        <v>6</v>
      </c>
      <c r="M3" s="1">
        <v>400</v>
      </c>
      <c r="N3" s="2">
        <v>2396</v>
      </c>
      <c r="O3" s="6">
        <f t="shared" ref="O3:O47" si="2">DATE(RIGHT(I3,4),1,1)+((LEFT(I3,2)-1)*7)-WEEKDAY(DATE(RIGHT(I3,4),1,1)+(LEFT(I3,2)-1)*7,2)+IF(RIGHT(I3,4)="2010",15,8)</f>
        <v>42114</v>
      </c>
      <c r="P3" s="6">
        <f t="shared" ref="P3:P47" si="3">DATE(YEAR(O3),MONTH(O3),1)</f>
        <v>42095</v>
      </c>
      <c r="Q3">
        <f t="shared" ref="Q3:Q47" si="4">MONTH(P3)</f>
        <v>4</v>
      </c>
      <c r="R3">
        <f t="shared" ref="R3:R47" si="5">YEAR(P3)</f>
        <v>2015</v>
      </c>
      <c r="S3" t="s">
        <v>90</v>
      </c>
    </row>
    <row r="4" spans="1:19" x14ac:dyDescent="0.25">
      <c r="A4" s="4" t="s">
        <v>0</v>
      </c>
      <c r="B4" s="4" t="s">
        <v>1</v>
      </c>
      <c r="C4" s="4" t="s">
        <v>34</v>
      </c>
      <c r="D4" s="4" t="s">
        <v>35</v>
      </c>
      <c r="E4" s="4" t="s">
        <v>2</v>
      </c>
      <c r="F4" s="4" t="s">
        <v>3</v>
      </c>
      <c r="G4" s="8">
        <f t="shared" si="0"/>
        <v>42135</v>
      </c>
      <c r="H4" s="9" t="str">
        <f t="shared" si="1"/>
        <v>20</v>
      </c>
      <c r="I4" s="4" t="s">
        <v>16</v>
      </c>
      <c r="J4" s="4" t="s">
        <v>4</v>
      </c>
      <c r="K4" s="4" t="s">
        <v>5</v>
      </c>
      <c r="L4" s="4" t="s">
        <v>6</v>
      </c>
      <c r="M4" s="1">
        <v>400</v>
      </c>
      <c r="N4" s="2">
        <v>2396</v>
      </c>
      <c r="O4" s="6">
        <f t="shared" si="2"/>
        <v>42142</v>
      </c>
      <c r="P4" s="6">
        <f t="shared" si="3"/>
        <v>42125</v>
      </c>
      <c r="Q4">
        <f t="shared" si="4"/>
        <v>5</v>
      </c>
      <c r="R4">
        <f t="shared" si="5"/>
        <v>2015</v>
      </c>
      <c r="S4" t="s">
        <v>90</v>
      </c>
    </row>
    <row r="5" spans="1:19" x14ac:dyDescent="0.25">
      <c r="A5" s="4" t="s">
        <v>0</v>
      </c>
      <c r="B5" s="4" t="s">
        <v>1</v>
      </c>
      <c r="C5" s="4" t="s">
        <v>34</v>
      </c>
      <c r="D5" s="4" t="s">
        <v>35</v>
      </c>
      <c r="E5" s="4" t="s">
        <v>2</v>
      </c>
      <c r="F5" s="4" t="s">
        <v>3</v>
      </c>
      <c r="G5" s="8">
        <f t="shared" si="0"/>
        <v>42163</v>
      </c>
      <c r="H5" s="9" t="str">
        <f t="shared" si="1"/>
        <v>24</v>
      </c>
      <c r="I5" s="4" t="s">
        <v>18</v>
      </c>
      <c r="J5" s="4" t="s">
        <v>4</v>
      </c>
      <c r="K5" s="4" t="s">
        <v>5</v>
      </c>
      <c r="L5" s="4" t="s">
        <v>6</v>
      </c>
      <c r="M5" s="1">
        <v>400</v>
      </c>
      <c r="N5" s="2">
        <v>2396</v>
      </c>
      <c r="O5" s="6">
        <f t="shared" si="2"/>
        <v>42170</v>
      </c>
      <c r="P5" s="6">
        <f t="shared" si="3"/>
        <v>42156</v>
      </c>
      <c r="Q5">
        <f t="shared" si="4"/>
        <v>6</v>
      </c>
      <c r="R5">
        <f t="shared" si="5"/>
        <v>2015</v>
      </c>
      <c r="S5" t="s">
        <v>90</v>
      </c>
    </row>
    <row r="6" spans="1:19" x14ac:dyDescent="0.25">
      <c r="A6" s="4" t="s">
        <v>0</v>
      </c>
      <c r="B6" s="4" t="s">
        <v>1</v>
      </c>
      <c r="C6" s="4" t="s">
        <v>34</v>
      </c>
      <c r="D6" s="4" t="s">
        <v>35</v>
      </c>
      <c r="E6" s="4" t="s">
        <v>2</v>
      </c>
      <c r="F6" s="4" t="s">
        <v>3</v>
      </c>
      <c r="G6" s="8">
        <f t="shared" si="0"/>
        <v>42198</v>
      </c>
      <c r="H6" s="9" t="str">
        <f t="shared" si="1"/>
        <v>29</v>
      </c>
      <c r="I6" s="4" t="s">
        <v>22</v>
      </c>
      <c r="J6" s="4" t="s">
        <v>4</v>
      </c>
      <c r="K6" s="4" t="s">
        <v>5</v>
      </c>
      <c r="L6" s="4" t="s">
        <v>6</v>
      </c>
      <c r="M6" s="1">
        <v>400</v>
      </c>
      <c r="N6" s="2">
        <v>2396</v>
      </c>
      <c r="O6" s="6">
        <f t="shared" si="2"/>
        <v>42205</v>
      </c>
      <c r="P6" s="6">
        <f t="shared" si="3"/>
        <v>42186</v>
      </c>
      <c r="Q6">
        <f t="shared" si="4"/>
        <v>7</v>
      </c>
      <c r="R6">
        <f t="shared" si="5"/>
        <v>2015</v>
      </c>
      <c r="S6" t="s">
        <v>90</v>
      </c>
    </row>
    <row r="7" spans="1:19" x14ac:dyDescent="0.25">
      <c r="A7" s="4" t="s">
        <v>0</v>
      </c>
      <c r="B7" s="4" t="s">
        <v>1</v>
      </c>
      <c r="C7" s="4" t="s">
        <v>34</v>
      </c>
      <c r="D7" s="4" t="s">
        <v>35</v>
      </c>
      <c r="E7" s="4" t="s">
        <v>2</v>
      </c>
      <c r="F7" s="4" t="s">
        <v>3</v>
      </c>
      <c r="G7" s="8">
        <f t="shared" si="0"/>
        <v>42226</v>
      </c>
      <c r="H7" s="9" t="str">
        <f t="shared" si="1"/>
        <v>33</v>
      </c>
      <c r="I7" s="4" t="s">
        <v>23</v>
      </c>
      <c r="J7" s="4" t="s">
        <v>4</v>
      </c>
      <c r="K7" s="4" t="s">
        <v>5</v>
      </c>
      <c r="L7" s="4" t="s">
        <v>6</v>
      </c>
      <c r="M7" s="1">
        <v>400</v>
      </c>
      <c r="N7" s="2">
        <v>2396</v>
      </c>
      <c r="O7" s="6">
        <f t="shared" si="2"/>
        <v>42233</v>
      </c>
      <c r="P7" s="6">
        <f t="shared" si="3"/>
        <v>42217</v>
      </c>
      <c r="Q7">
        <f t="shared" si="4"/>
        <v>8</v>
      </c>
      <c r="R7">
        <f t="shared" si="5"/>
        <v>2015</v>
      </c>
      <c r="S7" t="s">
        <v>90</v>
      </c>
    </row>
    <row r="8" spans="1:19" x14ac:dyDescent="0.25">
      <c r="A8" s="4" t="s">
        <v>0</v>
      </c>
      <c r="B8" s="4" t="s">
        <v>1</v>
      </c>
      <c r="C8" s="4" t="s">
        <v>36</v>
      </c>
      <c r="D8" s="4" t="s">
        <v>37</v>
      </c>
      <c r="E8" s="4" t="s">
        <v>2</v>
      </c>
      <c r="F8" s="4" t="s">
        <v>3</v>
      </c>
      <c r="G8" s="8">
        <f t="shared" si="0"/>
        <v>42107</v>
      </c>
      <c r="H8" s="9" t="str">
        <f t="shared" si="1"/>
        <v>16</v>
      </c>
      <c r="I8" s="4" t="s">
        <v>27</v>
      </c>
      <c r="J8" s="4" t="s">
        <v>4</v>
      </c>
      <c r="K8" s="4" t="s">
        <v>5</v>
      </c>
      <c r="L8" s="4" t="s">
        <v>6</v>
      </c>
      <c r="M8" s="1">
        <v>500</v>
      </c>
      <c r="N8" s="2">
        <v>1725</v>
      </c>
      <c r="O8" s="6">
        <f t="shared" si="2"/>
        <v>42114</v>
      </c>
      <c r="P8" s="6">
        <f t="shared" si="3"/>
        <v>42095</v>
      </c>
      <c r="Q8">
        <f t="shared" si="4"/>
        <v>4</v>
      </c>
      <c r="R8">
        <f t="shared" si="5"/>
        <v>2015</v>
      </c>
      <c r="S8" t="s">
        <v>90</v>
      </c>
    </row>
    <row r="9" spans="1:19" x14ac:dyDescent="0.25">
      <c r="A9" s="4" t="s">
        <v>0</v>
      </c>
      <c r="B9" s="4" t="s">
        <v>1</v>
      </c>
      <c r="C9" s="4" t="s">
        <v>36</v>
      </c>
      <c r="D9" s="4" t="s">
        <v>37</v>
      </c>
      <c r="E9" s="4" t="s">
        <v>2</v>
      </c>
      <c r="F9" s="4" t="s">
        <v>3</v>
      </c>
      <c r="G9" s="8">
        <f t="shared" si="0"/>
        <v>42142</v>
      </c>
      <c r="H9" s="9" t="str">
        <f t="shared" si="1"/>
        <v>21</v>
      </c>
      <c r="I9" s="4" t="s">
        <v>29</v>
      </c>
      <c r="J9" s="4" t="s">
        <v>4</v>
      </c>
      <c r="K9" s="4" t="s">
        <v>5</v>
      </c>
      <c r="L9" s="4" t="s">
        <v>6</v>
      </c>
      <c r="M9" s="1">
        <v>500</v>
      </c>
      <c r="N9" s="2">
        <v>1725</v>
      </c>
      <c r="O9" s="6">
        <f t="shared" si="2"/>
        <v>42149</v>
      </c>
      <c r="P9" s="6">
        <f t="shared" si="3"/>
        <v>42125</v>
      </c>
      <c r="Q9">
        <f t="shared" si="4"/>
        <v>5</v>
      </c>
      <c r="R9">
        <f t="shared" si="5"/>
        <v>2015</v>
      </c>
      <c r="S9" t="s">
        <v>90</v>
      </c>
    </row>
    <row r="10" spans="1:19" x14ac:dyDescent="0.25">
      <c r="A10" s="4" t="s">
        <v>0</v>
      </c>
      <c r="B10" s="4" t="s">
        <v>1</v>
      </c>
      <c r="C10" s="4" t="s">
        <v>36</v>
      </c>
      <c r="D10" s="4" t="s">
        <v>37</v>
      </c>
      <c r="E10" s="4" t="s">
        <v>2</v>
      </c>
      <c r="F10" s="4" t="s">
        <v>3</v>
      </c>
      <c r="G10" s="8">
        <f t="shared" si="0"/>
        <v>42184</v>
      </c>
      <c r="H10" s="9" t="str">
        <f t="shared" si="1"/>
        <v>27</v>
      </c>
      <c r="I10" s="4" t="s">
        <v>31</v>
      </c>
      <c r="J10" s="4" t="s">
        <v>4</v>
      </c>
      <c r="K10" s="4" t="s">
        <v>5</v>
      </c>
      <c r="L10" s="4" t="s">
        <v>6</v>
      </c>
      <c r="M10" s="1">
        <v>500</v>
      </c>
      <c r="N10" s="2">
        <v>1725</v>
      </c>
      <c r="O10" s="6">
        <f t="shared" si="2"/>
        <v>42191</v>
      </c>
      <c r="P10" s="6">
        <f t="shared" si="3"/>
        <v>42186</v>
      </c>
      <c r="Q10">
        <f t="shared" si="4"/>
        <v>7</v>
      </c>
      <c r="R10">
        <f t="shared" si="5"/>
        <v>2015</v>
      </c>
      <c r="S10" t="s">
        <v>90</v>
      </c>
    </row>
    <row r="11" spans="1:19" x14ac:dyDescent="0.25">
      <c r="A11" s="4" t="s">
        <v>0</v>
      </c>
      <c r="B11" s="4" t="s">
        <v>1</v>
      </c>
      <c r="C11" s="4" t="s">
        <v>36</v>
      </c>
      <c r="D11" s="4" t="s">
        <v>37</v>
      </c>
      <c r="E11" s="4" t="s">
        <v>2</v>
      </c>
      <c r="F11" s="4" t="s">
        <v>3</v>
      </c>
      <c r="G11" s="8">
        <f t="shared" si="0"/>
        <v>42219</v>
      </c>
      <c r="H11" s="9" t="str">
        <f t="shared" si="1"/>
        <v>32</v>
      </c>
      <c r="I11" s="4" t="s">
        <v>32</v>
      </c>
      <c r="J11" s="4" t="s">
        <v>4</v>
      </c>
      <c r="K11" s="4" t="s">
        <v>5</v>
      </c>
      <c r="L11" s="4" t="s">
        <v>6</v>
      </c>
      <c r="M11" s="1">
        <v>500</v>
      </c>
      <c r="N11" s="2">
        <v>1725</v>
      </c>
      <c r="O11" s="6">
        <f t="shared" si="2"/>
        <v>42226</v>
      </c>
      <c r="P11" s="6">
        <f t="shared" si="3"/>
        <v>42217</v>
      </c>
      <c r="Q11">
        <f t="shared" si="4"/>
        <v>8</v>
      </c>
      <c r="R11">
        <f t="shared" si="5"/>
        <v>2015</v>
      </c>
      <c r="S11" t="s">
        <v>90</v>
      </c>
    </row>
    <row r="12" spans="1:19" x14ac:dyDescent="0.25">
      <c r="A12" s="4" t="s">
        <v>0</v>
      </c>
      <c r="B12" s="4" t="s">
        <v>1</v>
      </c>
      <c r="C12" s="4" t="s">
        <v>38</v>
      </c>
      <c r="D12" s="4" t="s">
        <v>39</v>
      </c>
      <c r="E12" s="4" t="s">
        <v>2</v>
      </c>
      <c r="F12" s="4" t="s">
        <v>3</v>
      </c>
      <c r="G12" s="8">
        <f t="shared" si="0"/>
        <v>42100</v>
      </c>
      <c r="H12" s="9" t="str">
        <f t="shared" si="1"/>
        <v>15</v>
      </c>
      <c r="I12" s="4" t="s">
        <v>13</v>
      </c>
      <c r="J12" s="4" t="s">
        <v>4</v>
      </c>
      <c r="K12" s="4" t="s">
        <v>5</v>
      </c>
      <c r="L12" s="4" t="s">
        <v>6</v>
      </c>
      <c r="M12" s="1">
        <v>700</v>
      </c>
      <c r="N12" s="2">
        <v>1134</v>
      </c>
      <c r="O12" s="6">
        <f t="shared" si="2"/>
        <v>42107</v>
      </c>
      <c r="P12" s="6">
        <f t="shared" si="3"/>
        <v>42095</v>
      </c>
      <c r="Q12">
        <f t="shared" si="4"/>
        <v>4</v>
      </c>
      <c r="R12">
        <f t="shared" si="5"/>
        <v>2015</v>
      </c>
      <c r="S12" t="s">
        <v>90</v>
      </c>
    </row>
    <row r="13" spans="1:19" x14ac:dyDescent="0.25">
      <c r="A13" s="4" t="s">
        <v>0</v>
      </c>
      <c r="B13" s="4" t="s">
        <v>1</v>
      </c>
      <c r="C13" s="4" t="s">
        <v>38</v>
      </c>
      <c r="D13" s="4" t="s">
        <v>39</v>
      </c>
      <c r="E13" s="4" t="s">
        <v>2</v>
      </c>
      <c r="F13" s="4" t="s">
        <v>3</v>
      </c>
      <c r="G13" s="8">
        <f t="shared" si="0"/>
        <v>42156</v>
      </c>
      <c r="H13" s="9" t="str">
        <f t="shared" si="1"/>
        <v>23</v>
      </c>
      <c r="I13" s="4" t="s">
        <v>30</v>
      </c>
      <c r="J13" s="4" t="s">
        <v>4</v>
      </c>
      <c r="K13" s="4" t="s">
        <v>5</v>
      </c>
      <c r="L13" s="4" t="s">
        <v>6</v>
      </c>
      <c r="M13" s="1">
        <v>700</v>
      </c>
      <c r="N13" s="2">
        <v>1134</v>
      </c>
      <c r="O13" s="6">
        <f t="shared" si="2"/>
        <v>42163</v>
      </c>
      <c r="P13" s="6">
        <f t="shared" si="3"/>
        <v>42156</v>
      </c>
      <c r="Q13">
        <f t="shared" si="4"/>
        <v>6</v>
      </c>
      <c r="R13">
        <f t="shared" si="5"/>
        <v>2015</v>
      </c>
      <c r="S13" t="s">
        <v>90</v>
      </c>
    </row>
    <row r="14" spans="1:19" x14ac:dyDescent="0.25">
      <c r="A14" s="4" t="s">
        <v>0</v>
      </c>
      <c r="B14" s="4" t="s">
        <v>1</v>
      </c>
      <c r="C14" s="4" t="s">
        <v>38</v>
      </c>
      <c r="D14" s="4" t="s">
        <v>39</v>
      </c>
      <c r="E14" s="4" t="s">
        <v>2</v>
      </c>
      <c r="F14" s="4" t="s">
        <v>3</v>
      </c>
      <c r="G14" s="8">
        <f t="shared" si="0"/>
        <v>42212</v>
      </c>
      <c r="H14" s="9" t="str">
        <f t="shared" si="1"/>
        <v>31</v>
      </c>
      <c r="I14" s="4" t="s">
        <v>9</v>
      </c>
      <c r="J14" s="4" t="s">
        <v>4</v>
      </c>
      <c r="K14" s="4" t="s">
        <v>5</v>
      </c>
      <c r="L14" s="4" t="s">
        <v>6</v>
      </c>
      <c r="M14" s="1">
        <v>700</v>
      </c>
      <c r="N14" s="2">
        <v>1134</v>
      </c>
      <c r="O14" s="6">
        <f t="shared" si="2"/>
        <v>42219</v>
      </c>
      <c r="P14" s="6">
        <f t="shared" si="3"/>
        <v>42217</v>
      </c>
      <c r="Q14">
        <f t="shared" si="4"/>
        <v>8</v>
      </c>
      <c r="R14">
        <f t="shared" si="5"/>
        <v>2015</v>
      </c>
      <c r="S14" t="s">
        <v>90</v>
      </c>
    </row>
    <row r="15" spans="1:19" x14ac:dyDescent="0.25">
      <c r="A15" s="4" t="s">
        <v>0</v>
      </c>
      <c r="B15" s="4" t="s">
        <v>1</v>
      </c>
      <c r="C15" s="4" t="s">
        <v>40</v>
      </c>
      <c r="D15" s="4" t="s">
        <v>41</v>
      </c>
      <c r="E15" s="4" t="s">
        <v>2</v>
      </c>
      <c r="F15" s="4" t="s">
        <v>3</v>
      </c>
      <c r="G15" s="8">
        <f t="shared" si="0"/>
        <v>42135</v>
      </c>
      <c r="H15" s="9" t="str">
        <f t="shared" si="1"/>
        <v>20</v>
      </c>
      <c r="I15" s="4" t="s">
        <v>16</v>
      </c>
      <c r="J15" s="4" t="s">
        <v>4</v>
      </c>
      <c r="K15" s="4" t="s">
        <v>5</v>
      </c>
      <c r="L15" s="4" t="s">
        <v>6</v>
      </c>
      <c r="M15" s="1">
        <v>700</v>
      </c>
      <c r="N15" s="2">
        <v>1785</v>
      </c>
      <c r="O15" s="6">
        <f t="shared" si="2"/>
        <v>42142</v>
      </c>
      <c r="P15" s="6">
        <f t="shared" si="3"/>
        <v>42125</v>
      </c>
      <c r="Q15">
        <f t="shared" si="4"/>
        <v>5</v>
      </c>
      <c r="R15">
        <f t="shared" si="5"/>
        <v>2015</v>
      </c>
      <c r="S15" t="s">
        <v>90</v>
      </c>
    </row>
    <row r="16" spans="1:19" x14ac:dyDescent="0.25">
      <c r="A16" s="4" t="s">
        <v>0</v>
      </c>
      <c r="B16" s="4" t="s">
        <v>1</v>
      </c>
      <c r="C16" s="4" t="s">
        <v>40</v>
      </c>
      <c r="D16" s="4" t="s">
        <v>41</v>
      </c>
      <c r="E16" s="4" t="s">
        <v>2</v>
      </c>
      <c r="F16" s="4" t="s">
        <v>3</v>
      </c>
      <c r="G16" s="8">
        <f t="shared" si="0"/>
        <v>42191</v>
      </c>
      <c r="H16" s="9" t="str">
        <f t="shared" si="1"/>
        <v>28</v>
      </c>
      <c r="I16" s="4" t="s">
        <v>21</v>
      </c>
      <c r="J16" s="4" t="s">
        <v>4</v>
      </c>
      <c r="K16" s="4" t="s">
        <v>5</v>
      </c>
      <c r="L16" s="4" t="s">
        <v>6</v>
      </c>
      <c r="M16" s="1">
        <v>700</v>
      </c>
      <c r="N16" s="2">
        <v>1785</v>
      </c>
      <c r="O16" s="6">
        <f t="shared" si="2"/>
        <v>42198</v>
      </c>
      <c r="P16" s="6">
        <f t="shared" si="3"/>
        <v>42186</v>
      </c>
      <c r="Q16">
        <f t="shared" si="4"/>
        <v>7</v>
      </c>
      <c r="R16">
        <f t="shared" si="5"/>
        <v>2015</v>
      </c>
      <c r="S16" t="s">
        <v>90</v>
      </c>
    </row>
    <row r="17" spans="1:19" x14ac:dyDescent="0.25">
      <c r="A17" s="4" t="s">
        <v>0</v>
      </c>
      <c r="B17" s="4" t="s">
        <v>1</v>
      </c>
      <c r="C17" s="4" t="s">
        <v>42</v>
      </c>
      <c r="D17" s="4" t="s">
        <v>43</v>
      </c>
      <c r="E17" s="4" t="s">
        <v>2</v>
      </c>
      <c r="F17" s="4" t="s">
        <v>3</v>
      </c>
      <c r="G17" s="8">
        <f t="shared" si="0"/>
        <v>42093</v>
      </c>
      <c r="H17" s="9" t="str">
        <f t="shared" si="1"/>
        <v>14</v>
      </c>
      <c r="I17" s="4" t="s">
        <v>26</v>
      </c>
      <c r="J17" s="4" t="s">
        <v>4</v>
      </c>
      <c r="K17" s="4" t="s">
        <v>5</v>
      </c>
      <c r="L17" s="4" t="s">
        <v>6</v>
      </c>
      <c r="M17" s="1">
        <v>500</v>
      </c>
      <c r="N17" s="2">
        <v>3225</v>
      </c>
      <c r="O17" s="6">
        <f t="shared" si="2"/>
        <v>42100</v>
      </c>
      <c r="P17" s="6">
        <f t="shared" si="3"/>
        <v>42095</v>
      </c>
      <c r="Q17">
        <f t="shared" si="4"/>
        <v>4</v>
      </c>
      <c r="R17">
        <f t="shared" si="5"/>
        <v>2015</v>
      </c>
      <c r="S17" t="s">
        <v>90</v>
      </c>
    </row>
    <row r="18" spans="1:19" x14ac:dyDescent="0.25">
      <c r="A18" s="4" t="s">
        <v>0</v>
      </c>
      <c r="B18" s="4" t="s">
        <v>1</v>
      </c>
      <c r="C18" s="4" t="s">
        <v>42</v>
      </c>
      <c r="D18" s="4" t="s">
        <v>43</v>
      </c>
      <c r="E18" s="4" t="s">
        <v>2</v>
      </c>
      <c r="F18" s="4" t="s">
        <v>3</v>
      </c>
      <c r="G18" s="8">
        <f t="shared" si="0"/>
        <v>42128</v>
      </c>
      <c r="H18" s="9" t="str">
        <f t="shared" si="1"/>
        <v>19</v>
      </c>
      <c r="I18" s="4" t="s">
        <v>15</v>
      </c>
      <c r="J18" s="4" t="s">
        <v>4</v>
      </c>
      <c r="K18" s="4" t="s">
        <v>5</v>
      </c>
      <c r="L18" s="4" t="s">
        <v>6</v>
      </c>
      <c r="M18" s="1">
        <v>500</v>
      </c>
      <c r="N18" s="2">
        <v>3225</v>
      </c>
      <c r="O18" s="6">
        <f t="shared" si="2"/>
        <v>42135</v>
      </c>
      <c r="P18" s="6">
        <f t="shared" si="3"/>
        <v>42125</v>
      </c>
      <c r="Q18">
        <f t="shared" si="4"/>
        <v>5</v>
      </c>
      <c r="R18">
        <f t="shared" si="5"/>
        <v>2015</v>
      </c>
      <c r="S18" t="s">
        <v>90</v>
      </c>
    </row>
    <row r="19" spans="1:19" x14ac:dyDescent="0.25">
      <c r="A19" s="4" t="s">
        <v>0</v>
      </c>
      <c r="B19" s="4" t="s">
        <v>1</v>
      </c>
      <c r="C19" s="4" t="s">
        <v>42</v>
      </c>
      <c r="D19" s="4" t="s">
        <v>43</v>
      </c>
      <c r="E19" s="4" t="s">
        <v>2</v>
      </c>
      <c r="F19" s="4" t="s">
        <v>3</v>
      </c>
      <c r="G19" s="8">
        <f t="shared" si="0"/>
        <v>42163</v>
      </c>
      <c r="H19" s="9" t="str">
        <f t="shared" si="1"/>
        <v>24</v>
      </c>
      <c r="I19" s="4" t="s">
        <v>18</v>
      </c>
      <c r="J19" s="4" t="s">
        <v>4</v>
      </c>
      <c r="K19" s="4" t="s">
        <v>5</v>
      </c>
      <c r="L19" s="4" t="s">
        <v>6</v>
      </c>
      <c r="M19" s="1">
        <v>500</v>
      </c>
      <c r="N19" s="2">
        <v>3225</v>
      </c>
      <c r="O19" s="6">
        <f t="shared" si="2"/>
        <v>42170</v>
      </c>
      <c r="P19" s="6">
        <f t="shared" si="3"/>
        <v>42156</v>
      </c>
      <c r="Q19">
        <f t="shared" si="4"/>
        <v>6</v>
      </c>
      <c r="R19">
        <f t="shared" si="5"/>
        <v>2015</v>
      </c>
      <c r="S19" t="s">
        <v>90</v>
      </c>
    </row>
    <row r="20" spans="1:19" x14ac:dyDescent="0.25">
      <c r="A20" s="4" t="s">
        <v>0</v>
      </c>
      <c r="B20" s="4" t="s">
        <v>1</v>
      </c>
      <c r="C20" s="4" t="s">
        <v>42</v>
      </c>
      <c r="D20" s="4" t="s">
        <v>43</v>
      </c>
      <c r="E20" s="4" t="s">
        <v>2</v>
      </c>
      <c r="F20" s="4" t="s">
        <v>3</v>
      </c>
      <c r="G20" s="8">
        <f t="shared" si="0"/>
        <v>42198</v>
      </c>
      <c r="H20" s="9" t="str">
        <f t="shared" si="1"/>
        <v>29</v>
      </c>
      <c r="I20" s="4" t="s">
        <v>22</v>
      </c>
      <c r="J20" s="4" t="s">
        <v>4</v>
      </c>
      <c r="K20" s="4" t="s">
        <v>5</v>
      </c>
      <c r="L20" s="4" t="s">
        <v>6</v>
      </c>
      <c r="M20" s="1">
        <v>500</v>
      </c>
      <c r="N20" s="2">
        <v>3225</v>
      </c>
      <c r="O20" s="6">
        <f t="shared" si="2"/>
        <v>42205</v>
      </c>
      <c r="P20" s="6">
        <f t="shared" si="3"/>
        <v>42186</v>
      </c>
      <c r="Q20">
        <f t="shared" si="4"/>
        <v>7</v>
      </c>
      <c r="R20">
        <f t="shared" si="5"/>
        <v>2015</v>
      </c>
      <c r="S20" t="s">
        <v>90</v>
      </c>
    </row>
    <row r="21" spans="1:19" x14ac:dyDescent="0.25">
      <c r="A21" s="4" t="s">
        <v>0</v>
      </c>
      <c r="B21" s="4" t="s">
        <v>1</v>
      </c>
      <c r="C21" s="4" t="s">
        <v>42</v>
      </c>
      <c r="D21" s="4" t="s">
        <v>43</v>
      </c>
      <c r="E21" s="4" t="s">
        <v>2</v>
      </c>
      <c r="F21" s="4" t="s">
        <v>3</v>
      </c>
      <c r="G21" s="8">
        <f t="shared" si="0"/>
        <v>42240</v>
      </c>
      <c r="H21" s="9" t="str">
        <f t="shared" si="1"/>
        <v>35</v>
      </c>
      <c r="I21" s="4" t="s">
        <v>24</v>
      </c>
      <c r="J21" s="4" t="s">
        <v>4</v>
      </c>
      <c r="K21" s="4" t="s">
        <v>5</v>
      </c>
      <c r="L21" s="4" t="s">
        <v>6</v>
      </c>
      <c r="M21" s="1">
        <v>500</v>
      </c>
      <c r="N21" s="2">
        <v>3225</v>
      </c>
      <c r="O21" s="6">
        <f t="shared" si="2"/>
        <v>42247</v>
      </c>
      <c r="P21" s="6">
        <f t="shared" si="3"/>
        <v>42217</v>
      </c>
      <c r="Q21">
        <f t="shared" si="4"/>
        <v>8</v>
      </c>
      <c r="R21">
        <f t="shared" si="5"/>
        <v>2015</v>
      </c>
      <c r="S21" t="s">
        <v>90</v>
      </c>
    </row>
    <row r="22" spans="1:19" x14ac:dyDescent="0.25">
      <c r="A22" s="4" t="s">
        <v>0</v>
      </c>
      <c r="B22" s="4" t="s">
        <v>1</v>
      </c>
      <c r="C22" s="4" t="s">
        <v>44</v>
      </c>
      <c r="D22" s="4" t="s">
        <v>45</v>
      </c>
      <c r="E22" s="4" t="s">
        <v>2</v>
      </c>
      <c r="F22" s="4" t="s">
        <v>3</v>
      </c>
      <c r="G22" s="8">
        <f t="shared" si="0"/>
        <v>42114</v>
      </c>
      <c r="H22" s="9" t="str">
        <f t="shared" si="1"/>
        <v>17</v>
      </c>
      <c r="I22" s="4" t="s">
        <v>14</v>
      </c>
      <c r="J22" s="4" t="s">
        <v>4</v>
      </c>
      <c r="K22" s="4" t="s">
        <v>5</v>
      </c>
      <c r="L22" s="4" t="s">
        <v>6</v>
      </c>
      <c r="M22" s="1">
        <v>300</v>
      </c>
      <c r="N22" s="2">
        <v>4113</v>
      </c>
      <c r="O22" s="6">
        <f t="shared" si="2"/>
        <v>42121</v>
      </c>
      <c r="P22" s="6">
        <f t="shared" si="3"/>
        <v>42095</v>
      </c>
      <c r="Q22">
        <f t="shared" si="4"/>
        <v>4</v>
      </c>
      <c r="R22">
        <f t="shared" si="5"/>
        <v>2015</v>
      </c>
      <c r="S22" t="s">
        <v>90</v>
      </c>
    </row>
    <row r="23" spans="1:19" x14ac:dyDescent="0.25">
      <c r="A23" s="4" t="s">
        <v>0</v>
      </c>
      <c r="B23" s="4" t="s">
        <v>1</v>
      </c>
      <c r="C23" s="4" t="s">
        <v>44</v>
      </c>
      <c r="D23" s="4" t="s">
        <v>45</v>
      </c>
      <c r="E23" s="4" t="s">
        <v>2</v>
      </c>
      <c r="F23" s="4" t="s">
        <v>3</v>
      </c>
      <c r="G23" s="8">
        <f t="shared" si="0"/>
        <v>42163</v>
      </c>
      <c r="H23" s="9" t="str">
        <f t="shared" si="1"/>
        <v>24</v>
      </c>
      <c r="I23" s="4" t="s">
        <v>18</v>
      </c>
      <c r="J23" s="4" t="s">
        <v>4</v>
      </c>
      <c r="K23" s="4" t="s">
        <v>5</v>
      </c>
      <c r="L23" s="4" t="s">
        <v>6</v>
      </c>
      <c r="M23" s="1">
        <v>300</v>
      </c>
      <c r="N23" s="2">
        <v>4113</v>
      </c>
      <c r="O23" s="6">
        <f t="shared" si="2"/>
        <v>42170</v>
      </c>
      <c r="P23" s="6">
        <f t="shared" si="3"/>
        <v>42156</v>
      </c>
      <c r="Q23">
        <f t="shared" si="4"/>
        <v>6</v>
      </c>
      <c r="R23">
        <f t="shared" si="5"/>
        <v>2015</v>
      </c>
      <c r="S23" t="s">
        <v>90</v>
      </c>
    </row>
    <row r="24" spans="1:19" x14ac:dyDescent="0.25">
      <c r="A24" s="4" t="s">
        <v>0</v>
      </c>
      <c r="B24" s="4" t="s">
        <v>1</v>
      </c>
      <c r="C24" s="4" t="s">
        <v>44</v>
      </c>
      <c r="D24" s="4" t="s">
        <v>45</v>
      </c>
      <c r="E24" s="4" t="s">
        <v>2</v>
      </c>
      <c r="F24" s="4" t="s">
        <v>3</v>
      </c>
      <c r="G24" s="8">
        <f t="shared" si="0"/>
        <v>42219</v>
      </c>
      <c r="H24" s="9" t="str">
        <f t="shared" si="1"/>
        <v>32</v>
      </c>
      <c r="I24" s="4" t="s">
        <v>32</v>
      </c>
      <c r="J24" s="4" t="s">
        <v>4</v>
      </c>
      <c r="K24" s="4" t="s">
        <v>5</v>
      </c>
      <c r="L24" s="4" t="s">
        <v>6</v>
      </c>
      <c r="M24" s="1">
        <v>300</v>
      </c>
      <c r="N24" s="2">
        <v>4113</v>
      </c>
      <c r="O24" s="6">
        <f t="shared" si="2"/>
        <v>42226</v>
      </c>
      <c r="P24" s="6">
        <f t="shared" si="3"/>
        <v>42217</v>
      </c>
      <c r="Q24">
        <f t="shared" si="4"/>
        <v>8</v>
      </c>
      <c r="R24">
        <f t="shared" si="5"/>
        <v>2015</v>
      </c>
      <c r="S24" t="s">
        <v>90</v>
      </c>
    </row>
    <row r="25" spans="1:19" x14ac:dyDescent="0.25">
      <c r="A25" s="4" t="s">
        <v>0</v>
      </c>
      <c r="B25" s="4" t="s">
        <v>1</v>
      </c>
      <c r="C25" s="4" t="s">
        <v>46</v>
      </c>
      <c r="D25" s="4" t="s">
        <v>47</v>
      </c>
      <c r="E25" s="4" t="s">
        <v>48</v>
      </c>
      <c r="F25" s="4" t="s">
        <v>3</v>
      </c>
      <c r="G25" s="8">
        <f t="shared" si="0"/>
        <v>42072</v>
      </c>
      <c r="H25" s="9" t="str">
        <f t="shared" si="1"/>
        <v>11</v>
      </c>
      <c r="I25" s="4" t="s">
        <v>11</v>
      </c>
      <c r="J25" s="4" t="s">
        <v>4</v>
      </c>
      <c r="K25" s="4" t="s">
        <v>5</v>
      </c>
      <c r="L25" s="4" t="s">
        <v>6</v>
      </c>
      <c r="M25" s="1">
        <v>600</v>
      </c>
      <c r="N25" s="2">
        <v>21062.31</v>
      </c>
      <c r="O25" s="6">
        <f t="shared" si="2"/>
        <v>42079</v>
      </c>
      <c r="P25" s="6">
        <f t="shared" si="3"/>
        <v>42064</v>
      </c>
      <c r="Q25">
        <f t="shared" si="4"/>
        <v>3</v>
      </c>
      <c r="R25">
        <f t="shared" si="5"/>
        <v>2015</v>
      </c>
      <c r="S25" t="s">
        <v>90</v>
      </c>
    </row>
    <row r="26" spans="1:19" x14ac:dyDescent="0.25">
      <c r="A26" s="4" t="s">
        <v>0</v>
      </c>
      <c r="B26" s="4" t="s">
        <v>1</v>
      </c>
      <c r="C26" s="4" t="s">
        <v>46</v>
      </c>
      <c r="D26" s="4" t="s">
        <v>47</v>
      </c>
      <c r="E26" s="4" t="s">
        <v>48</v>
      </c>
      <c r="F26" s="4" t="s">
        <v>3</v>
      </c>
      <c r="G26" s="8">
        <f t="shared" si="0"/>
        <v>42121</v>
      </c>
      <c r="H26" s="9" t="str">
        <f t="shared" si="1"/>
        <v>18</v>
      </c>
      <c r="I26" s="4" t="s">
        <v>28</v>
      </c>
      <c r="J26" s="4" t="s">
        <v>4</v>
      </c>
      <c r="K26" s="4" t="s">
        <v>5</v>
      </c>
      <c r="L26" s="4" t="s">
        <v>6</v>
      </c>
      <c r="M26" s="1">
        <v>600</v>
      </c>
      <c r="N26" s="2">
        <v>21062.31</v>
      </c>
      <c r="O26" s="6">
        <f t="shared" si="2"/>
        <v>42128</v>
      </c>
      <c r="P26" s="6">
        <f t="shared" si="3"/>
        <v>42125</v>
      </c>
      <c r="Q26">
        <f t="shared" si="4"/>
        <v>5</v>
      </c>
      <c r="R26">
        <f t="shared" si="5"/>
        <v>2015</v>
      </c>
      <c r="S26" t="s">
        <v>90</v>
      </c>
    </row>
    <row r="27" spans="1:19" x14ac:dyDescent="0.25">
      <c r="A27" s="4" t="s">
        <v>0</v>
      </c>
      <c r="B27" s="4" t="s">
        <v>1</v>
      </c>
      <c r="C27" s="4" t="s">
        <v>46</v>
      </c>
      <c r="D27" s="4" t="s">
        <v>47</v>
      </c>
      <c r="E27" s="4" t="s">
        <v>48</v>
      </c>
      <c r="F27" s="4" t="s">
        <v>3</v>
      </c>
      <c r="G27" s="8">
        <f t="shared" si="0"/>
        <v>42170</v>
      </c>
      <c r="H27" s="9" t="str">
        <f t="shared" si="1"/>
        <v>25</v>
      </c>
      <c r="I27" s="4" t="s">
        <v>19</v>
      </c>
      <c r="J27" s="4" t="s">
        <v>4</v>
      </c>
      <c r="K27" s="4" t="s">
        <v>5</v>
      </c>
      <c r="L27" s="4" t="s">
        <v>6</v>
      </c>
      <c r="M27" s="1">
        <v>600</v>
      </c>
      <c r="N27" s="2">
        <v>21062.31</v>
      </c>
      <c r="O27" s="6">
        <f t="shared" si="2"/>
        <v>42177</v>
      </c>
      <c r="P27" s="6">
        <f t="shared" si="3"/>
        <v>42156</v>
      </c>
      <c r="Q27">
        <f t="shared" si="4"/>
        <v>6</v>
      </c>
      <c r="R27">
        <f t="shared" si="5"/>
        <v>2015</v>
      </c>
      <c r="S27" t="s">
        <v>90</v>
      </c>
    </row>
    <row r="28" spans="1:19" x14ac:dyDescent="0.25">
      <c r="A28" s="4" t="s">
        <v>0</v>
      </c>
      <c r="B28" s="4" t="s">
        <v>1</v>
      </c>
      <c r="C28" s="4" t="s">
        <v>46</v>
      </c>
      <c r="D28" s="4" t="s">
        <v>47</v>
      </c>
      <c r="E28" s="4" t="s">
        <v>48</v>
      </c>
      <c r="F28" s="4" t="s">
        <v>3</v>
      </c>
      <c r="G28" s="8">
        <f t="shared" si="0"/>
        <v>42219</v>
      </c>
      <c r="H28" s="9" t="str">
        <f t="shared" si="1"/>
        <v>32</v>
      </c>
      <c r="I28" s="4" t="s">
        <v>32</v>
      </c>
      <c r="J28" s="4" t="s">
        <v>4</v>
      </c>
      <c r="K28" s="4" t="s">
        <v>5</v>
      </c>
      <c r="L28" s="4" t="s">
        <v>6</v>
      </c>
      <c r="M28" s="1">
        <v>600</v>
      </c>
      <c r="N28" s="2">
        <v>21062.31</v>
      </c>
      <c r="O28" s="6">
        <f t="shared" si="2"/>
        <v>42226</v>
      </c>
      <c r="P28" s="6">
        <f t="shared" si="3"/>
        <v>42217</v>
      </c>
      <c r="Q28">
        <f t="shared" si="4"/>
        <v>8</v>
      </c>
      <c r="R28">
        <f t="shared" si="5"/>
        <v>2015</v>
      </c>
      <c r="S28" t="s">
        <v>90</v>
      </c>
    </row>
    <row r="29" spans="1:19" x14ac:dyDescent="0.25">
      <c r="A29" s="4" t="s">
        <v>0</v>
      </c>
      <c r="B29" s="4" t="s">
        <v>1</v>
      </c>
      <c r="C29" s="4" t="s">
        <v>49</v>
      </c>
      <c r="D29" s="4" t="s">
        <v>47</v>
      </c>
      <c r="E29" s="4" t="s">
        <v>48</v>
      </c>
      <c r="F29" s="4" t="s">
        <v>3</v>
      </c>
      <c r="G29" s="8">
        <f t="shared" si="0"/>
        <v>42135</v>
      </c>
      <c r="H29" s="9" t="str">
        <f t="shared" si="1"/>
        <v>20</v>
      </c>
      <c r="I29" s="4" t="s">
        <v>16</v>
      </c>
      <c r="J29" s="4" t="s">
        <v>4</v>
      </c>
      <c r="K29" s="4" t="s">
        <v>5</v>
      </c>
      <c r="L29" s="4" t="s">
        <v>6</v>
      </c>
      <c r="M29" s="1">
        <v>2700</v>
      </c>
      <c r="N29" s="2">
        <v>97159.8</v>
      </c>
      <c r="O29" s="6">
        <f t="shared" si="2"/>
        <v>42142</v>
      </c>
      <c r="P29" s="6">
        <f t="shared" si="3"/>
        <v>42125</v>
      </c>
      <c r="Q29">
        <f t="shared" si="4"/>
        <v>5</v>
      </c>
      <c r="R29">
        <f t="shared" si="5"/>
        <v>2015</v>
      </c>
      <c r="S29" t="s">
        <v>90</v>
      </c>
    </row>
    <row r="30" spans="1:19" x14ac:dyDescent="0.25">
      <c r="A30" s="4" t="s">
        <v>0</v>
      </c>
      <c r="B30" s="4" t="s">
        <v>1</v>
      </c>
      <c r="C30" s="4" t="s">
        <v>49</v>
      </c>
      <c r="D30" s="4" t="s">
        <v>47</v>
      </c>
      <c r="E30" s="4" t="s">
        <v>48</v>
      </c>
      <c r="F30" s="4" t="s">
        <v>3</v>
      </c>
      <c r="G30" s="8">
        <f t="shared" si="0"/>
        <v>42240</v>
      </c>
      <c r="H30" s="9" t="str">
        <f t="shared" si="1"/>
        <v>35</v>
      </c>
      <c r="I30" s="4" t="s">
        <v>24</v>
      </c>
      <c r="J30" s="4" t="s">
        <v>4</v>
      </c>
      <c r="K30" s="4" t="s">
        <v>5</v>
      </c>
      <c r="L30" s="4" t="s">
        <v>6</v>
      </c>
      <c r="M30" s="1">
        <v>2700</v>
      </c>
      <c r="N30" s="2">
        <v>97159.8</v>
      </c>
      <c r="O30" s="6">
        <f t="shared" si="2"/>
        <v>42247</v>
      </c>
      <c r="P30" s="6">
        <f t="shared" si="3"/>
        <v>42217</v>
      </c>
      <c r="Q30">
        <f t="shared" si="4"/>
        <v>8</v>
      </c>
      <c r="R30">
        <f t="shared" si="5"/>
        <v>2015</v>
      </c>
      <c r="S30" t="s">
        <v>90</v>
      </c>
    </row>
    <row r="31" spans="1:19" x14ac:dyDescent="0.25">
      <c r="A31" s="4" t="s">
        <v>0</v>
      </c>
      <c r="B31" s="4" t="s">
        <v>1</v>
      </c>
      <c r="C31" s="4" t="s">
        <v>50</v>
      </c>
      <c r="D31" s="4" t="s">
        <v>47</v>
      </c>
      <c r="E31" s="4" t="s">
        <v>48</v>
      </c>
      <c r="F31" s="4" t="s">
        <v>3</v>
      </c>
      <c r="G31" s="8">
        <f t="shared" si="0"/>
        <v>42065</v>
      </c>
      <c r="H31" s="9" t="str">
        <f t="shared" si="1"/>
        <v>10</v>
      </c>
      <c r="I31" s="4" t="s">
        <v>25</v>
      </c>
      <c r="J31" s="4" t="s">
        <v>4</v>
      </c>
      <c r="K31" s="4" t="s">
        <v>5</v>
      </c>
      <c r="L31" s="4" t="s">
        <v>6</v>
      </c>
      <c r="M31" s="1">
        <v>1000</v>
      </c>
      <c r="N31" s="2">
        <v>38775.79</v>
      </c>
      <c r="O31" s="6">
        <f t="shared" si="2"/>
        <v>42072</v>
      </c>
      <c r="P31" s="6">
        <f t="shared" si="3"/>
        <v>42064</v>
      </c>
      <c r="Q31">
        <f t="shared" si="4"/>
        <v>3</v>
      </c>
      <c r="R31">
        <f t="shared" si="5"/>
        <v>2015</v>
      </c>
      <c r="S31" t="s">
        <v>90</v>
      </c>
    </row>
    <row r="32" spans="1:19" x14ac:dyDescent="0.25">
      <c r="A32" s="4" t="s">
        <v>0</v>
      </c>
      <c r="B32" s="4" t="s">
        <v>1</v>
      </c>
      <c r="C32" s="4" t="s">
        <v>50</v>
      </c>
      <c r="D32" s="4" t="s">
        <v>47</v>
      </c>
      <c r="E32" s="4" t="s">
        <v>48</v>
      </c>
      <c r="F32" s="4" t="s">
        <v>3</v>
      </c>
      <c r="G32" s="8">
        <f t="shared" si="0"/>
        <v>42086</v>
      </c>
      <c r="H32" s="9" t="str">
        <f t="shared" si="1"/>
        <v>13</v>
      </c>
      <c r="I32" s="4" t="s">
        <v>12</v>
      </c>
      <c r="J32" s="4" t="s">
        <v>4</v>
      </c>
      <c r="K32" s="4" t="s">
        <v>5</v>
      </c>
      <c r="L32" s="4" t="s">
        <v>6</v>
      </c>
      <c r="M32" s="1">
        <v>1000</v>
      </c>
      <c r="N32" s="2">
        <v>38775.79</v>
      </c>
      <c r="O32" s="6">
        <f t="shared" si="2"/>
        <v>42093</v>
      </c>
      <c r="P32" s="6">
        <f t="shared" si="3"/>
        <v>42064</v>
      </c>
      <c r="Q32">
        <f t="shared" si="4"/>
        <v>3</v>
      </c>
      <c r="R32">
        <f t="shared" si="5"/>
        <v>2015</v>
      </c>
      <c r="S32" t="s">
        <v>90</v>
      </c>
    </row>
    <row r="33" spans="1:19" x14ac:dyDescent="0.25">
      <c r="A33" s="4" t="s">
        <v>0</v>
      </c>
      <c r="B33" s="4" t="s">
        <v>1</v>
      </c>
      <c r="C33" s="4" t="s">
        <v>50</v>
      </c>
      <c r="D33" s="4" t="s">
        <v>47</v>
      </c>
      <c r="E33" s="4" t="s">
        <v>48</v>
      </c>
      <c r="F33" s="4" t="s">
        <v>3</v>
      </c>
      <c r="G33" s="8">
        <f t="shared" si="0"/>
        <v>42100</v>
      </c>
      <c r="H33" s="9" t="str">
        <f t="shared" si="1"/>
        <v>15</v>
      </c>
      <c r="I33" s="4" t="s">
        <v>13</v>
      </c>
      <c r="J33" s="4" t="s">
        <v>4</v>
      </c>
      <c r="K33" s="4" t="s">
        <v>5</v>
      </c>
      <c r="L33" s="4" t="s">
        <v>6</v>
      </c>
      <c r="M33" s="1">
        <v>1000</v>
      </c>
      <c r="N33" s="2">
        <v>38775.79</v>
      </c>
      <c r="O33" s="6">
        <f t="shared" si="2"/>
        <v>42107</v>
      </c>
      <c r="P33" s="6">
        <f t="shared" si="3"/>
        <v>42095</v>
      </c>
      <c r="Q33">
        <f t="shared" si="4"/>
        <v>4</v>
      </c>
      <c r="R33">
        <f t="shared" si="5"/>
        <v>2015</v>
      </c>
      <c r="S33" t="s">
        <v>90</v>
      </c>
    </row>
    <row r="34" spans="1:19" x14ac:dyDescent="0.25">
      <c r="A34" s="4" t="s">
        <v>0</v>
      </c>
      <c r="B34" s="4" t="s">
        <v>1</v>
      </c>
      <c r="C34" s="4" t="s">
        <v>50</v>
      </c>
      <c r="D34" s="4" t="s">
        <v>47</v>
      </c>
      <c r="E34" s="4" t="s">
        <v>48</v>
      </c>
      <c r="F34" s="4" t="s">
        <v>3</v>
      </c>
      <c r="G34" s="8">
        <f t="shared" si="0"/>
        <v>42114</v>
      </c>
      <c r="H34" s="9" t="str">
        <f t="shared" si="1"/>
        <v>17</v>
      </c>
      <c r="I34" s="4" t="s">
        <v>14</v>
      </c>
      <c r="J34" s="4" t="s">
        <v>4</v>
      </c>
      <c r="K34" s="4" t="s">
        <v>5</v>
      </c>
      <c r="L34" s="4" t="s">
        <v>6</v>
      </c>
      <c r="M34" s="1">
        <v>1000</v>
      </c>
      <c r="N34" s="2">
        <v>38775.79</v>
      </c>
      <c r="O34" s="6">
        <f t="shared" si="2"/>
        <v>42121</v>
      </c>
      <c r="P34" s="6">
        <f t="shared" si="3"/>
        <v>42095</v>
      </c>
      <c r="Q34">
        <f t="shared" si="4"/>
        <v>4</v>
      </c>
      <c r="R34">
        <f t="shared" si="5"/>
        <v>2015</v>
      </c>
      <c r="S34" t="s">
        <v>90</v>
      </c>
    </row>
    <row r="35" spans="1:19" x14ac:dyDescent="0.25">
      <c r="A35" s="4" t="s">
        <v>0</v>
      </c>
      <c r="B35" s="4" t="s">
        <v>1</v>
      </c>
      <c r="C35" s="4" t="s">
        <v>50</v>
      </c>
      <c r="D35" s="4" t="s">
        <v>47</v>
      </c>
      <c r="E35" s="4" t="s">
        <v>48</v>
      </c>
      <c r="F35" s="4" t="s">
        <v>3</v>
      </c>
      <c r="G35" s="8">
        <f t="shared" si="0"/>
        <v>42135</v>
      </c>
      <c r="H35" s="9" t="str">
        <f t="shared" si="1"/>
        <v>20</v>
      </c>
      <c r="I35" s="4" t="s">
        <v>16</v>
      </c>
      <c r="J35" s="4" t="s">
        <v>4</v>
      </c>
      <c r="K35" s="4" t="s">
        <v>5</v>
      </c>
      <c r="L35" s="4" t="s">
        <v>6</v>
      </c>
      <c r="M35" s="1">
        <v>1000</v>
      </c>
      <c r="N35" s="2">
        <v>38775.79</v>
      </c>
      <c r="O35" s="6">
        <f t="shared" si="2"/>
        <v>42142</v>
      </c>
      <c r="P35" s="6">
        <f t="shared" si="3"/>
        <v>42125</v>
      </c>
      <c r="Q35">
        <f t="shared" si="4"/>
        <v>5</v>
      </c>
      <c r="R35">
        <f t="shared" si="5"/>
        <v>2015</v>
      </c>
      <c r="S35" t="s">
        <v>90</v>
      </c>
    </row>
    <row r="36" spans="1:19" x14ac:dyDescent="0.25">
      <c r="A36" s="4" t="s">
        <v>0</v>
      </c>
      <c r="B36" s="4" t="s">
        <v>1</v>
      </c>
      <c r="C36" s="4" t="s">
        <v>50</v>
      </c>
      <c r="D36" s="4" t="s">
        <v>47</v>
      </c>
      <c r="E36" s="4" t="s">
        <v>48</v>
      </c>
      <c r="F36" s="4" t="s">
        <v>3</v>
      </c>
      <c r="G36" s="8">
        <f t="shared" si="0"/>
        <v>42149</v>
      </c>
      <c r="H36" s="9" t="str">
        <f t="shared" si="1"/>
        <v>22</v>
      </c>
      <c r="I36" s="4" t="s">
        <v>17</v>
      </c>
      <c r="J36" s="4" t="s">
        <v>4</v>
      </c>
      <c r="K36" s="4" t="s">
        <v>5</v>
      </c>
      <c r="L36" s="4" t="s">
        <v>6</v>
      </c>
      <c r="M36" s="1">
        <v>1000</v>
      </c>
      <c r="N36" s="2">
        <v>38775.79</v>
      </c>
      <c r="O36" s="6">
        <f t="shared" si="2"/>
        <v>42156</v>
      </c>
      <c r="P36" s="6">
        <f t="shared" si="3"/>
        <v>42156</v>
      </c>
      <c r="Q36">
        <f t="shared" si="4"/>
        <v>6</v>
      </c>
      <c r="R36">
        <f t="shared" si="5"/>
        <v>2015</v>
      </c>
      <c r="S36" t="s">
        <v>90</v>
      </c>
    </row>
    <row r="37" spans="1:19" x14ac:dyDescent="0.25">
      <c r="A37" s="4" t="s">
        <v>0</v>
      </c>
      <c r="B37" s="4" t="s">
        <v>1</v>
      </c>
      <c r="C37" s="4" t="s">
        <v>50</v>
      </c>
      <c r="D37" s="4" t="s">
        <v>47</v>
      </c>
      <c r="E37" s="4" t="s">
        <v>48</v>
      </c>
      <c r="F37" s="4" t="s">
        <v>3</v>
      </c>
      <c r="G37" s="8">
        <f t="shared" si="0"/>
        <v>42163</v>
      </c>
      <c r="H37" s="9" t="str">
        <f t="shared" si="1"/>
        <v>24</v>
      </c>
      <c r="I37" s="4" t="s">
        <v>18</v>
      </c>
      <c r="J37" s="4" t="s">
        <v>4</v>
      </c>
      <c r="K37" s="4" t="s">
        <v>5</v>
      </c>
      <c r="L37" s="4" t="s">
        <v>6</v>
      </c>
      <c r="M37" s="1">
        <v>1000</v>
      </c>
      <c r="N37" s="2">
        <v>38775.79</v>
      </c>
      <c r="O37" s="6">
        <f t="shared" si="2"/>
        <v>42170</v>
      </c>
      <c r="P37" s="6">
        <f t="shared" si="3"/>
        <v>42156</v>
      </c>
      <c r="Q37">
        <f t="shared" si="4"/>
        <v>6</v>
      </c>
      <c r="R37">
        <f t="shared" si="5"/>
        <v>2015</v>
      </c>
      <c r="S37" t="s">
        <v>90</v>
      </c>
    </row>
    <row r="38" spans="1:19" x14ac:dyDescent="0.25">
      <c r="A38" s="4" t="s">
        <v>0</v>
      </c>
      <c r="B38" s="4" t="s">
        <v>1</v>
      </c>
      <c r="C38" s="4" t="s">
        <v>50</v>
      </c>
      <c r="D38" s="4" t="s">
        <v>47</v>
      </c>
      <c r="E38" s="4" t="s">
        <v>48</v>
      </c>
      <c r="F38" s="4" t="s">
        <v>3</v>
      </c>
      <c r="G38" s="8">
        <f t="shared" si="0"/>
        <v>42177</v>
      </c>
      <c r="H38" s="9" t="str">
        <f t="shared" si="1"/>
        <v>26</v>
      </c>
      <c r="I38" s="4" t="s">
        <v>20</v>
      </c>
      <c r="J38" s="4" t="s">
        <v>4</v>
      </c>
      <c r="K38" s="4" t="s">
        <v>5</v>
      </c>
      <c r="L38" s="4" t="s">
        <v>6</v>
      </c>
      <c r="M38" s="1">
        <v>1000</v>
      </c>
      <c r="N38" s="2">
        <v>38775.79</v>
      </c>
      <c r="O38" s="6">
        <f t="shared" si="2"/>
        <v>42184</v>
      </c>
      <c r="P38" s="6">
        <f t="shared" si="3"/>
        <v>42156</v>
      </c>
      <c r="Q38">
        <f t="shared" si="4"/>
        <v>6</v>
      </c>
      <c r="R38">
        <f t="shared" si="5"/>
        <v>2015</v>
      </c>
      <c r="S38" t="s">
        <v>90</v>
      </c>
    </row>
    <row r="39" spans="1:19" x14ac:dyDescent="0.25">
      <c r="A39" s="4" t="s">
        <v>0</v>
      </c>
      <c r="B39" s="4" t="s">
        <v>1</v>
      </c>
      <c r="C39" s="4" t="s">
        <v>50</v>
      </c>
      <c r="D39" s="4" t="s">
        <v>47</v>
      </c>
      <c r="E39" s="4" t="s">
        <v>48</v>
      </c>
      <c r="F39" s="4" t="s">
        <v>3</v>
      </c>
      <c r="G39" s="8">
        <f t="shared" si="0"/>
        <v>42198</v>
      </c>
      <c r="H39" s="9" t="str">
        <f t="shared" si="1"/>
        <v>29</v>
      </c>
      <c r="I39" s="4" t="s">
        <v>22</v>
      </c>
      <c r="J39" s="4" t="s">
        <v>4</v>
      </c>
      <c r="K39" s="4" t="s">
        <v>5</v>
      </c>
      <c r="L39" s="4" t="s">
        <v>6</v>
      </c>
      <c r="M39" s="1">
        <v>1000</v>
      </c>
      <c r="N39" s="2">
        <v>38775.79</v>
      </c>
      <c r="O39" s="6">
        <f t="shared" si="2"/>
        <v>42205</v>
      </c>
      <c r="P39" s="6">
        <f t="shared" si="3"/>
        <v>42186</v>
      </c>
      <c r="Q39">
        <f t="shared" si="4"/>
        <v>7</v>
      </c>
      <c r="R39">
        <f t="shared" si="5"/>
        <v>2015</v>
      </c>
      <c r="S39" t="s">
        <v>90</v>
      </c>
    </row>
    <row r="40" spans="1:19" x14ac:dyDescent="0.25">
      <c r="A40" s="4" t="s">
        <v>0</v>
      </c>
      <c r="B40" s="4" t="s">
        <v>1</v>
      </c>
      <c r="C40" s="4" t="s">
        <v>50</v>
      </c>
      <c r="D40" s="4" t="s">
        <v>47</v>
      </c>
      <c r="E40" s="4" t="s">
        <v>48</v>
      </c>
      <c r="F40" s="4" t="s">
        <v>3</v>
      </c>
      <c r="G40" s="8">
        <f t="shared" si="0"/>
        <v>42212</v>
      </c>
      <c r="H40" s="9" t="str">
        <f t="shared" si="1"/>
        <v>31</v>
      </c>
      <c r="I40" s="4" t="s">
        <v>9</v>
      </c>
      <c r="J40" s="4" t="s">
        <v>4</v>
      </c>
      <c r="K40" s="4" t="s">
        <v>5</v>
      </c>
      <c r="L40" s="4" t="s">
        <v>6</v>
      </c>
      <c r="M40" s="1">
        <v>1000</v>
      </c>
      <c r="N40" s="2">
        <v>38775.79</v>
      </c>
      <c r="O40" s="6">
        <f t="shared" si="2"/>
        <v>42219</v>
      </c>
      <c r="P40" s="6">
        <f t="shared" si="3"/>
        <v>42217</v>
      </c>
      <c r="Q40">
        <f t="shared" si="4"/>
        <v>8</v>
      </c>
      <c r="R40">
        <f t="shared" si="5"/>
        <v>2015</v>
      </c>
      <c r="S40" t="s">
        <v>90</v>
      </c>
    </row>
    <row r="41" spans="1:19" x14ac:dyDescent="0.25">
      <c r="A41" s="4" t="s">
        <v>0</v>
      </c>
      <c r="B41" s="4" t="s">
        <v>1</v>
      </c>
      <c r="C41" s="4" t="s">
        <v>50</v>
      </c>
      <c r="D41" s="4" t="s">
        <v>47</v>
      </c>
      <c r="E41" s="4" t="s">
        <v>48</v>
      </c>
      <c r="F41" s="4" t="s">
        <v>3</v>
      </c>
      <c r="G41" s="8">
        <f t="shared" si="0"/>
        <v>42226</v>
      </c>
      <c r="H41" s="9" t="str">
        <f t="shared" si="1"/>
        <v>33</v>
      </c>
      <c r="I41" s="4" t="s">
        <v>23</v>
      </c>
      <c r="J41" s="4" t="s">
        <v>4</v>
      </c>
      <c r="K41" s="4" t="s">
        <v>5</v>
      </c>
      <c r="L41" s="4" t="s">
        <v>6</v>
      </c>
      <c r="M41" s="1">
        <v>1000</v>
      </c>
      <c r="N41" s="2">
        <v>38775.79</v>
      </c>
      <c r="O41" s="6">
        <f t="shared" si="2"/>
        <v>42233</v>
      </c>
      <c r="P41" s="6">
        <f t="shared" si="3"/>
        <v>42217</v>
      </c>
      <c r="Q41">
        <f t="shared" si="4"/>
        <v>8</v>
      </c>
      <c r="R41">
        <f t="shared" si="5"/>
        <v>2015</v>
      </c>
      <c r="S41" t="s">
        <v>90</v>
      </c>
    </row>
    <row r="42" spans="1:19" x14ac:dyDescent="0.25">
      <c r="A42" s="4" t="s">
        <v>0</v>
      </c>
      <c r="B42" s="4" t="s">
        <v>1</v>
      </c>
      <c r="C42" s="4" t="s">
        <v>50</v>
      </c>
      <c r="D42" s="4" t="s">
        <v>47</v>
      </c>
      <c r="E42" s="4" t="s">
        <v>48</v>
      </c>
      <c r="F42" s="4" t="s">
        <v>3</v>
      </c>
      <c r="G42" s="8">
        <f t="shared" si="0"/>
        <v>42240</v>
      </c>
      <c r="H42" s="9" t="str">
        <f t="shared" si="1"/>
        <v>35</v>
      </c>
      <c r="I42" s="4" t="s">
        <v>24</v>
      </c>
      <c r="J42" s="4" t="s">
        <v>4</v>
      </c>
      <c r="K42" s="4" t="s">
        <v>5</v>
      </c>
      <c r="L42" s="4" t="s">
        <v>6</v>
      </c>
      <c r="M42" s="1">
        <v>1000</v>
      </c>
      <c r="N42" s="2">
        <v>38775.79</v>
      </c>
      <c r="O42" s="6">
        <f t="shared" si="2"/>
        <v>42247</v>
      </c>
      <c r="P42" s="6">
        <f t="shared" si="3"/>
        <v>42217</v>
      </c>
      <c r="Q42">
        <f t="shared" si="4"/>
        <v>8</v>
      </c>
      <c r="R42">
        <f t="shared" si="5"/>
        <v>2015</v>
      </c>
      <c r="S42" t="s">
        <v>90</v>
      </c>
    </row>
    <row r="43" spans="1:19" x14ac:dyDescent="0.25">
      <c r="A43" s="4" t="s">
        <v>0</v>
      </c>
      <c r="B43" s="4" t="s">
        <v>1</v>
      </c>
      <c r="C43" s="4" t="s">
        <v>51</v>
      </c>
      <c r="D43" s="4" t="s">
        <v>52</v>
      </c>
      <c r="E43" s="4" t="s">
        <v>48</v>
      </c>
      <c r="F43" s="4" t="s">
        <v>3</v>
      </c>
      <c r="G43" s="8">
        <f t="shared" si="0"/>
        <v>42121</v>
      </c>
      <c r="H43" s="9" t="str">
        <f t="shared" si="1"/>
        <v>18</v>
      </c>
      <c r="I43" s="4" t="s">
        <v>28</v>
      </c>
      <c r="J43" s="4" t="s">
        <v>53</v>
      </c>
      <c r="K43" s="4" t="s">
        <v>5</v>
      </c>
      <c r="L43" s="4" t="s">
        <v>6</v>
      </c>
      <c r="M43" s="1">
        <v>10000</v>
      </c>
      <c r="N43" s="2">
        <v>24969.26</v>
      </c>
      <c r="O43" s="6">
        <f t="shared" si="2"/>
        <v>42128</v>
      </c>
      <c r="P43" s="6">
        <f t="shared" si="3"/>
        <v>42125</v>
      </c>
      <c r="Q43">
        <f t="shared" si="4"/>
        <v>5</v>
      </c>
      <c r="R43">
        <f t="shared" si="5"/>
        <v>2015</v>
      </c>
      <c r="S43" t="s">
        <v>90</v>
      </c>
    </row>
    <row r="44" spans="1:19" x14ac:dyDescent="0.25">
      <c r="A44" s="4" t="s">
        <v>0</v>
      </c>
      <c r="B44" s="4" t="s">
        <v>1</v>
      </c>
      <c r="C44" s="4" t="s">
        <v>51</v>
      </c>
      <c r="D44" s="4" t="s">
        <v>52</v>
      </c>
      <c r="E44" s="4" t="s">
        <v>48</v>
      </c>
      <c r="F44" s="4" t="s">
        <v>3</v>
      </c>
      <c r="G44" s="8">
        <f t="shared" si="0"/>
        <v>42170</v>
      </c>
      <c r="H44" s="9" t="str">
        <f t="shared" si="1"/>
        <v>25</v>
      </c>
      <c r="I44" s="4" t="s">
        <v>19</v>
      </c>
      <c r="J44" s="4" t="s">
        <v>53</v>
      </c>
      <c r="K44" s="4" t="s">
        <v>5</v>
      </c>
      <c r="L44" s="4" t="s">
        <v>6</v>
      </c>
      <c r="M44" s="1">
        <v>10000</v>
      </c>
      <c r="N44" s="2">
        <v>24969.26</v>
      </c>
      <c r="O44" s="6">
        <f t="shared" si="2"/>
        <v>42177</v>
      </c>
      <c r="P44" s="6">
        <f t="shared" si="3"/>
        <v>42156</v>
      </c>
      <c r="Q44">
        <f t="shared" si="4"/>
        <v>6</v>
      </c>
      <c r="R44">
        <f t="shared" si="5"/>
        <v>2015</v>
      </c>
      <c r="S44" t="s">
        <v>90</v>
      </c>
    </row>
    <row r="45" spans="1:19" x14ac:dyDescent="0.25">
      <c r="A45" s="4" t="s">
        <v>0</v>
      </c>
      <c r="B45" s="4" t="s">
        <v>1</v>
      </c>
      <c r="C45" s="4" t="s">
        <v>51</v>
      </c>
      <c r="D45" s="4" t="s">
        <v>52</v>
      </c>
      <c r="E45" s="4" t="s">
        <v>48</v>
      </c>
      <c r="F45" s="4" t="s">
        <v>3</v>
      </c>
      <c r="G45" s="8">
        <f t="shared" si="0"/>
        <v>42212</v>
      </c>
      <c r="H45" s="9" t="str">
        <f t="shared" si="1"/>
        <v>31</v>
      </c>
      <c r="I45" s="4" t="s">
        <v>9</v>
      </c>
      <c r="J45" s="4" t="s">
        <v>53</v>
      </c>
      <c r="K45" s="4" t="s">
        <v>5</v>
      </c>
      <c r="L45" s="4" t="s">
        <v>6</v>
      </c>
      <c r="M45" s="1">
        <v>10000</v>
      </c>
      <c r="N45" s="2">
        <v>24969.26</v>
      </c>
      <c r="O45" s="6">
        <f t="shared" si="2"/>
        <v>42219</v>
      </c>
      <c r="P45" s="6">
        <f t="shared" si="3"/>
        <v>42217</v>
      </c>
      <c r="Q45">
        <f t="shared" si="4"/>
        <v>8</v>
      </c>
      <c r="R45">
        <f t="shared" si="5"/>
        <v>2015</v>
      </c>
      <c r="S45" t="s">
        <v>90</v>
      </c>
    </row>
    <row r="46" spans="1:19" x14ac:dyDescent="0.25">
      <c r="A46" s="4" t="s">
        <v>0</v>
      </c>
      <c r="B46" s="4" t="s">
        <v>1</v>
      </c>
      <c r="C46" s="4" t="s">
        <v>54</v>
      </c>
      <c r="D46" s="4" t="s">
        <v>52</v>
      </c>
      <c r="E46" s="4" t="s">
        <v>48</v>
      </c>
      <c r="F46" s="4" t="s">
        <v>3</v>
      </c>
      <c r="G46" s="8">
        <f t="shared" si="0"/>
        <v>42163</v>
      </c>
      <c r="H46" s="9" t="str">
        <f t="shared" si="1"/>
        <v>24</v>
      </c>
      <c r="I46" s="4" t="s">
        <v>18</v>
      </c>
      <c r="J46" s="4" t="s">
        <v>53</v>
      </c>
      <c r="K46" s="4" t="s">
        <v>5</v>
      </c>
      <c r="L46" s="4" t="s">
        <v>6</v>
      </c>
      <c r="M46" s="1">
        <v>5000</v>
      </c>
      <c r="N46" s="2">
        <v>17625.36</v>
      </c>
      <c r="O46" s="6">
        <f t="shared" si="2"/>
        <v>42170</v>
      </c>
      <c r="P46" s="6">
        <f t="shared" si="3"/>
        <v>42156</v>
      </c>
      <c r="Q46">
        <f t="shared" si="4"/>
        <v>6</v>
      </c>
      <c r="R46">
        <f t="shared" si="5"/>
        <v>2015</v>
      </c>
      <c r="S46" t="s">
        <v>90</v>
      </c>
    </row>
    <row r="47" spans="1:19" x14ac:dyDescent="0.25">
      <c r="A47" s="4" t="s">
        <v>0</v>
      </c>
      <c r="B47" s="4" t="s">
        <v>1</v>
      </c>
      <c r="C47" s="4" t="s">
        <v>55</v>
      </c>
      <c r="D47" s="4" t="s">
        <v>56</v>
      </c>
      <c r="E47" s="4" t="s">
        <v>57</v>
      </c>
      <c r="F47" s="4" t="s">
        <v>3</v>
      </c>
      <c r="G47" s="8">
        <f t="shared" si="0"/>
        <v>42156</v>
      </c>
      <c r="H47" s="9" t="str">
        <f t="shared" si="1"/>
        <v>23</v>
      </c>
      <c r="I47" s="4" t="s">
        <v>30</v>
      </c>
      <c r="J47" s="4" t="s">
        <v>4</v>
      </c>
      <c r="K47" s="4" t="s">
        <v>5</v>
      </c>
      <c r="L47" s="4" t="s">
        <v>6</v>
      </c>
      <c r="M47" s="1">
        <v>600</v>
      </c>
      <c r="N47" s="2">
        <v>1182</v>
      </c>
      <c r="O47" s="6">
        <f t="shared" si="2"/>
        <v>42163</v>
      </c>
      <c r="P47" s="6">
        <f t="shared" si="3"/>
        <v>42156</v>
      </c>
      <c r="Q47">
        <f t="shared" si="4"/>
        <v>6</v>
      </c>
      <c r="R47">
        <f t="shared" si="5"/>
        <v>2015</v>
      </c>
      <c r="S47" t="s">
        <v>90</v>
      </c>
    </row>
    <row r="48" spans="1:19" x14ac:dyDescent="0.25">
      <c r="A48" s="4" t="s">
        <v>0</v>
      </c>
      <c r="B48" s="4" t="s">
        <v>1</v>
      </c>
      <c r="C48" s="4" t="s">
        <v>59</v>
      </c>
      <c r="D48" s="4" t="s">
        <v>60</v>
      </c>
      <c r="E48" s="4" t="s">
        <v>58</v>
      </c>
      <c r="F48" s="4" t="s">
        <v>3</v>
      </c>
      <c r="G48" s="8">
        <f t="shared" ref="G48:G76" si="6">DATE(2015,1,H48*7-9)</f>
        <v>42093</v>
      </c>
      <c r="H48" s="9" t="str">
        <f t="shared" ref="H48:H76" si="7">MID(I48,1,2)</f>
        <v>14</v>
      </c>
      <c r="I48" s="4" t="s">
        <v>26</v>
      </c>
      <c r="J48" s="4" t="s">
        <v>4</v>
      </c>
      <c r="K48" s="4" t="s">
        <v>5</v>
      </c>
      <c r="L48" s="4" t="s">
        <v>6</v>
      </c>
      <c r="M48" s="1">
        <v>100</v>
      </c>
      <c r="N48" s="2">
        <v>2920</v>
      </c>
      <c r="O48" s="6">
        <f t="shared" ref="O48:O76" si="8">DATE(RIGHT(I48,4),1,1)+((LEFT(I48,2)-1)*7)-WEEKDAY(DATE(RIGHT(I48,4),1,1)+(LEFT(I48,2)-1)*7,2)+IF(RIGHT(I48,4)="2010",15,8)</f>
        <v>42100</v>
      </c>
      <c r="P48" s="6">
        <f t="shared" ref="P48:P76" si="9">DATE(YEAR(O48),MONTH(O48),1)</f>
        <v>42095</v>
      </c>
      <c r="Q48">
        <f t="shared" ref="Q48:Q76" si="10">MONTH(P48)</f>
        <v>4</v>
      </c>
      <c r="R48">
        <f t="shared" ref="R48:R76" si="11">YEAR(P48)</f>
        <v>2015</v>
      </c>
      <c r="S48" t="s">
        <v>90</v>
      </c>
    </row>
    <row r="49" spans="1:19" x14ac:dyDescent="0.25">
      <c r="A49" s="4" t="s">
        <v>0</v>
      </c>
      <c r="B49" s="4" t="s">
        <v>1</v>
      </c>
      <c r="C49" s="4" t="s">
        <v>59</v>
      </c>
      <c r="D49" s="4" t="s">
        <v>60</v>
      </c>
      <c r="E49" s="4" t="s">
        <v>58</v>
      </c>
      <c r="F49" s="4" t="s">
        <v>3</v>
      </c>
      <c r="G49" s="8">
        <f t="shared" si="6"/>
        <v>42100</v>
      </c>
      <c r="H49" s="9" t="str">
        <f t="shared" si="7"/>
        <v>15</v>
      </c>
      <c r="I49" s="4" t="s">
        <v>13</v>
      </c>
      <c r="J49" s="4" t="s">
        <v>4</v>
      </c>
      <c r="K49" s="4" t="s">
        <v>5</v>
      </c>
      <c r="L49" s="4" t="s">
        <v>6</v>
      </c>
      <c r="M49" s="1">
        <v>100</v>
      </c>
      <c r="N49" s="2">
        <v>2920</v>
      </c>
      <c r="O49" s="6">
        <f t="shared" si="8"/>
        <v>42107</v>
      </c>
      <c r="P49" s="6">
        <f t="shared" si="9"/>
        <v>42095</v>
      </c>
      <c r="Q49">
        <f t="shared" si="10"/>
        <v>4</v>
      </c>
      <c r="R49">
        <f t="shared" si="11"/>
        <v>2015</v>
      </c>
      <c r="S49" t="s">
        <v>90</v>
      </c>
    </row>
    <row r="50" spans="1:19" x14ac:dyDescent="0.25">
      <c r="A50" s="4" t="s">
        <v>0</v>
      </c>
      <c r="B50" s="4" t="s">
        <v>1</v>
      </c>
      <c r="C50" s="4" t="s">
        <v>59</v>
      </c>
      <c r="D50" s="4" t="s">
        <v>60</v>
      </c>
      <c r="E50" s="4" t="s">
        <v>58</v>
      </c>
      <c r="F50" s="4" t="s">
        <v>3</v>
      </c>
      <c r="G50" s="8">
        <f t="shared" si="6"/>
        <v>42107</v>
      </c>
      <c r="H50" s="9" t="str">
        <f t="shared" si="7"/>
        <v>16</v>
      </c>
      <c r="I50" s="4" t="s">
        <v>27</v>
      </c>
      <c r="J50" s="4" t="s">
        <v>4</v>
      </c>
      <c r="K50" s="4" t="s">
        <v>5</v>
      </c>
      <c r="L50" s="4" t="s">
        <v>6</v>
      </c>
      <c r="M50" s="1">
        <v>100</v>
      </c>
      <c r="N50" s="2">
        <v>2920</v>
      </c>
      <c r="O50" s="6">
        <f t="shared" si="8"/>
        <v>42114</v>
      </c>
      <c r="P50" s="6">
        <f t="shared" si="9"/>
        <v>42095</v>
      </c>
      <c r="Q50">
        <f t="shared" si="10"/>
        <v>4</v>
      </c>
      <c r="R50">
        <f t="shared" si="11"/>
        <v>2015</v>
      </c>
      <c r="S50" t="s">
        <v>90</v>
      </c>
    </row>
    <row r="51" spans="1:19" x14ac:dyDescent="0.25">
      <c r="A51" s="4" t="s">
        <v>0</v>
      </c>
      <c r="B51" s="4" t="s">
        <v>1</v>
      </c>
      <c r="C51" s="4" t="s">
        <v>59</v>
      </c>
      <c r="D51" s="4" t="s">
        <v>60</v>
      </c>
      <c r="E51" s="4" t="s">
        <v>58</v>
      </c>
      <c r="F51" s="4" t="s">
        <v>3</v>
      </c>
      <c r="G51" s="8">
        <f t="shared" si="6"/>
        <v>42114</v>
      </c>
      <c r="H51" s="9" t="str">
        <f t="shared" si="7"/>
        <v>17</v>
      </c>
      <c r="I51" s="4" t="s">
        <v>14</v>
      </c>
      <c r="J51" s="4" t="s">
        <v>4</v>
      </c>
      <c r="K51" s="4" t="s">
        <v>5</v>
      </c>
      <c r="L51" s="4" t="s">
        <v>6</v>
      </c>
      <c r="M51" s="1">
        <v>100</v>
      </c>
      <c r="N51" s="2">
        <v>2920</v>
      </c>
      <c r="O51" s="6">
        <f t="shared" si="8"/>
        <v>42121</v>
      </c>
      <c r="P51" s="6">
        <f t="shared" si="9"/>
        <v>42095</v>
      </c>
      <c r="Q51">
        <f t="shared" si="10"/>
        <v>4</v>
      </c>
      <c r="R51">
        <f t="shared" si="11"/>
        <v>2015</v>
      </c>
      <c r="S51" t="s">
        <v>90</v>
      </c>
    </row>
    <row r="52" spans="1:19" x14ac:dyDescent="0.25">
      <c r="A52" s="4" t="s">
        <v>0</v>
      </c>
      <c r="B52" s="4" t="s">
        <v>1</v>
      </c>
      <c r="C52" s="4" t="s">
        <v>59</v>
      </c>
      <c r="D52" s="4" t="s">
        <v>60</v>
      </c>
      <c r="E52" s="4" t="s">
        <v>58</v>
      </c>
      <c r="F52" s="4" t="s">
        <v>3</v>
      </c>
      <c r="G52" s="8">
        <f t="shared" si="6"/>
        <v>42121</v>
      </c>
      <c r="H52" s="9" t="str">
        <f t="shared" si="7"/>
        <v>18</v>
      </c>
      <c r="I52" s="4" t="s">
        <v>28</v>
      </c>
      <c r="J52" s="4" t="s">
        <v>4</v>
      </c>
      <c r="K52" s="4" t="s">
        <v>5</v>
      </c>
      <c r="L52" s="4" t="s">
        <v>6</v>
      </c>
      <c r="M52" s="1">
        <v>100</v>
      </c>
      <c r="N52" s="2">
        <v>2920</v>
      </c>
      <c r="O52" s="6">
        <f t="shared" si="8"/>
        <v>42128</v>
      </c>
      <c r="P52" s="6">
        <f t="shared" si="9"/>
        <v>42125</v>
      </c>
      <c r="Q52">
        <f t="shared" si="10"/>
        <v>5</v>
      </c>
      <c r="R52">
        <f t="shared" si="11"/>
        <v>2015</v>
      </c>
      <c r="S52" t="s">
        <v>90</v>
      </c>
    </row>
    <row r="53" spans="1:19" x14ac:dyDescent="0.25">
      <c r="A53" s="4" t="s">
        <v>0</v>
      </c>
      <c r="B53" s="4" t="s">
        <v>1</v>
      </c>
      <c r="C53" s="4" t="s">
        <v>59</v>
      </c>
      <c r="D53" s="4" t="s">
        <v>60</v>
      </c>
      <c r="E53" s="4" t="s">
        <v>58</v>
      </c>
      <c r="F53" s="4" t="s">
        <v>3</v>
      </c>
      <c r="G53" s="8">
        <f t="shared" si="6"/>
        <v>42128</v>
      </c>
      <c r="H53" s="9" t="str">
        <f t="shared" si="7"/>
        <v>19</v>
      </c>
      <c r="I53" s="4" t="s">
        <v>15</v>
      </c>
      <c r="J53" s="4" t="s">
        <v>4</v>
      </c>
      <c r="K53" s="4" t="s">
        <v>5</v>
      </c>
      <c r="L53" s="4" t="s">
        <v>6</v>
      </c>
      <c r="M53" s="1">
        <v>100</v>
      </c>
      <c r="N53" s="2">
        <v>2920</v>
      </c>
      <c r="O53" s="6">
        <f t="shared" si="8"/>
        <v>42135</v>
      </c>
      <c r="P53" s="6">
        <f t="shared" si="9"/>
        <v>42125</v>
      </c>
      <c r="Q53">
        <f t="shared" si="10"/>
        <v>5</v>
      </c>
      <c r="R53">
        <f t="shared" si="11"/>
        <v>2015</v>
      </c>
      <c r="S53" t="s">
        <v>90</v>
      </c>
    </row>
    <row r="54" spans="1:19" x14ac:dyDescent="0.25">
      <c r="A54" s="4" t="s">
        <v>0</v>
      </c>
      <c r="B54" s="4" t="s">
        <v>1</v>
      </c>
      <c r="C54" s="4" t="s">
        <v>59</v>
      </c>
      <c r="D54" s="4" t="s">
        <v>60</v>
      </c>
      <c r="E54" s="4" t="s">
        <v>58</v>
      </c>
      <c r="F54" s="4" t="s">
        <v>3</v>
      </c>
      <c r="G54" s="8">
        <f t="shared" si="6"/>
        <v>42142</v>
      </c>
      <c r="H54" s="9" t="str">
        <f t="shared" si="7"/>
        <v>21</v>
      </c>
      <c r="I54" s="4" t="s">
        <v>29</v>
      </c>
      <c r="J54" s="4" t="s">
        <v>4</v>
      </c>
      <c r="K54" s="4" t="s">
        <v>5</v>
      </c>
      <c r="L54" s="4" t="s">
        <v>6</v>
      </c>
      <c r="M54" s="1">
        <v>150</v>
      </c>
      <c r="N54" s="2">
        <v>4380</v>
      </c>
      <c r="O54" s="6">
        <f t="shared" si="8"/>
        <v>42149</v>
      </c>
      <c r="P54" s="6">
        <f t="shared" si="9"/>
        <v>42125</v>
      </c>
      <c r="Q54">
        <f t="shared" si="10"/>
        <v>5</v>
      </c>
      <c r="R54">
        <f t="shared" si="11"/>
        <v>2015</v>
      </c>
      <c r="S54" t="s">
        <v>90</v>
      </c>
    </row>
    <row r="55" spans="1:19" x14ac:dyDescent="0.25">
      <c r="A55" s="4" t="s">
        <v>0</v>
      </c>
      <c r="B55" s="4" t="s">
        <v>1</v>
      </c>
      <c r="C55" s="4" t="s">
        <v>59</v>
      </c>
      <c r="D55" s="4" t="s">
        <v>60</v>
      </c>
      <c r="E55" s="4" t="s">
        <v>58</v>
      </c>
      <c r="F55" s="4" t="s">
        <v>3</v>
      </c>
      <c r="G55" s="8">
        <f t="shared" si="6"/>
        <v>42156</v>
      </c>
      <c r="H55" s="9" t="str">
        <f t="shared" si="7"/>
        <v>23</v>
      </c>
      <c r="I55" s="4" t="s">
        <v>30</v>
      </c>
      <c r="J55" s="4" t="s">
        <v>4</v>
      </c>
      <c r="K55" s="4" t="s">
        <v>5</v>
      </c>
      <c r="L55" s="4" t="s">
        <v>6</v>
      </c>
      <c r="M55" s="1">
        <v>100</v>
      </c>
      <c r="N55" s="2">
        <v>2920</v>
      </c>
      <c r="O55" s="6">
        <f t="shared" si="8"/>
        <v>42163</v>
      </c>
      <c r="P55" s="6">
        <f t="shared" si="9"/>
        <v>42156</v>
      </c>
      <c r="Q55">
        <f t="shared" si="10"/>
        <v>6</v>
      </c>
      <c r="R55">
        <f t="shared" si="11"/>
        <v>2015</v>
      </c>
      <c r="S55" t="s">
        <v>90</v>
      </c>
    </row>
    <row r="56" spans="1:19" x14ac:dyDescent="0.25">
      <c r="A56" s="4" t="s">
        <v>0</v>
      </c>
      <c r="B56" s="4" t="s">
        <v>1</v>
      </c>
      <c r="C56" s="4" t="s">
        <v>59</v>
      </c>
      <c r="D56" s="4" t="s">
        <v>60</v>
      </c>
      <c r="E56" s="4" t="s">
        <v>58</v>
      </c>
      <c r="F56" s="4" t="s">
        <v>3</v>
      </c>
      <c r="G56" s="8">
        <f t="shared" si="6"/>
        <v>42163</v>
      </c>
      <c r="H56" s="9" t="str">
        <f t="shared" si="7"/>
        <v>24</v>
      </c>
      <c r="I56" s="4" t="s">
        <v>18</v>
      </c>
      <c r="J56" s="4" t="s">
        <v>4</v>
      </c>
      <c r="K56" s="4" t="s">
        <v>5</v>
      </c>
      <c r="L56" s="4" t="s">
        <v>6</v>
      </c>
      <c r="M56" s="1">
        <v>100</v>
      </c>
      <c r="N56" s="2">
        <v>2920</v>
      </c>
      <c r="O56" s="6">
        <f t="shared" si="8"/>
        <v>42170</v>
      </c>
      <c r="P56" s="6">
        <f t="shared" si="9"/>
        <v>42156</v>
      </c>
      <c r="Q56">
        <f t="shared" si="10"/>
        <v>6</v>
      </c>
      <c r="R56">
        <f t="shared" si="11"/>
        <v>2015</v>
      </c>
      <c r="S56" t="s">
        <v>90</v>
      </c>
    </row>
    <row r="57" spans="1:19" x14ac:dyDescent="0.25">
      <c r="A57" s="4" t="s">
        <v>0</v>
      </c>
      <c r="B57" s="4" t="s">
        <v>1</v>
      </c>
      <c r="C57" s="4" t="s">
        <v>59</v>
      </c>
      <c r="D57" s="4" t="s">
        <v>60</v>
      </c>
      <c r="E57" s="4" t="s">
        <v>58</v>
      </c>
      <c r="F57" s="4" t="s">
        <v>3</v>
      </c>
      <c r="G57" s="8">
        <f t="shared" si="6"/>
        <v>42170</v>
      </c>
      <c r="H57" s="9" t="str">
        <f t="shared" si="7"/>
        <v>25</v>
      </c>
      <c r="I57" s="4" t="s">
        <v>19</v>
      </c>
      <c r="J57" s="4" t="s">
        <v>4</v>
      </c>
      <c r="K57" s="4" t="s">
        <v>5</v>
      </c>
      <c r="L57" s="4" t="s">
        <v>6</v>
      </c>
      <c r="M57" s="1">
        <v>150</v>
      </c>
      <c r="N57" s="2">
        <v>4380</v>
      </c>
      <c r="O57" s="6">
        <f t="shared" si="8"/>
        <v>42177</v>
      </c>
      <c r="P57" s="6">
        <f t="shared" si="9"/>
        <v>42156</v>
      </c>
      <c r="Q57">
        <f t="shared" si="10"/>
        <v>6</v>
      </c>
      <c r="R57">
        <f t="shared" si="11"/>
        <v>2015</v>
      </c>
      <c r="S57" t="s">
        <v>90</v>
      </c>
    </row>
    <row r="58" spans="1:19" x14ac:dyDescent="0.25">
      <c r="A58" s="4" t="s">
        <v>0</v>
      </c>
      <c r="B58" s="4" t="s">
        <v>1</v>
      </c>
      <c r="C58" s="4" t="s">
        <v>59</v>
      </c>
      <c r="D58" s="4" t="s">
        <v>60</v>
      </c>
      <c r="E58" s="4" t="s">
        <v>58</v>
      </c>
      <c r="F58" s="4" t="s">
        <v>3</v>
      </c>
      <c r="G58" s="8">
        <f t="shared" si="6"/>
        <v>42177</v>
      </c>
      <c r="H58" s="9" t="str">
        <f t="shared" si="7"/>
        <v>26</v>
      </c>
      <c r="I58" s="4" t="s">
        <v>20</v>
      </c>
      <c r="J58" s="4" t="s">
        <v>4</v>
      </c>
      <c r="K58" s="4" t="s">
        <v>5</v>
      </c>
      <c r="L58" s="4" t="s">
        <v>6</v>
      </c>
      <c r="M58" s="1">
        <v>100</v>
      </c>
      <c r="N58" s="2">
        <v>2920</v>
      </c>
      <c r="O58" s="6">
        <f t="shared" si="8"/>
        <v>42184</v>
      </c>
      <c r="P58" s="6">
        <f t="shared" si="9"/>
        <v>42156</v>
      </c>
      <c r="Q58">
        <f t="shared" si="10"/>
        <v>6</v>
      </c>
      <c r="R58">
        <f t="shared" si="11"/>
        <v>2015</v>
      </c>
      <c r="S58" t="s">
        <v>90</v>
      </c>
    </row>
    <row r="59" spans="1:19" x14ac:dyDescent="0.25">
      <c r="A59" s="4" t="s">
        <v>0</v>
      </c>
      <c r="B59" s="4" t="s">
        <v>1</v>
      </c>
      <c r="C59" s="4" t="s">
        <v>59</v>
      </c>
      <c r="D59" s="4" t="s">
        <v>60</v>
      </c>
      <c r="E59" s="4" t="s">
        <v>58</v>
      </c>
      <c r="F59" s="4" t="s">
        <v>3</v>
      </c>
      <c r="G59" s="8">
        <f t="shared" si="6"/>
        <v>42191</v>
      </c>
      <c r="H59" s="9" t="str">
        <f t="shared" si="7"/>
        <v>28</v>
      </c>
      <c r="I59" s="4" t="s">
        <v>21</v>
      </c>
      <c r="J59" s="4" t="s">
        <v>4</v>
      </c>
      <c r="K59" s="4" t="s">
        <v>5</v>
      </c>
      <c r="L59" s="4" t="s">
        <v>6</v>
      </c>
      <c r="M59" s="1">
        <v>100</v>
      </c>
      <c r="N59" s="2">
        <v>2920</v>
      </c>
      <c r="O59" s="6">
        <f t="shared" si="8"/>
        <v>42198</v>
      </c>
      <c r="P59" s="6">
        <f t="shared" si="9"/>
        <v>42186</v>
      </c>
      <c r="Q59">
        <f t="shared" si="10"/>
        <v>7</v>
      </c>
      <c r="R59">
        <f t="shared" si="11"/>
        <v>2015</v>
      </c>
      <c r="S59" t="s">
        <v>90</v>
      </c>
    </row>
    <row r="60" spans="1:19" x14ac:dyDescent="0.25">
      <c r="A60" s="4" t="s">
        <v>0</v>
      </c>
      <c r="B60" s="4" t="s">
        <v>1</v>
      </c>
      <c r="C60" s="4" t="s">
        <v>59</v>
      </c>
      <c r="D60" s="4" t="s">
        <v>60</v>
      </c>
      <c r="E60" s="4" t="s">
        <v>58</v>
      </c>
      <c r="F60" s="4" t="s">
        <v>3</v>
      </c>
      <c r="G60" s="8">
        <f t="shared" si="6"/>
        <v>42198</v>
      </c>
      <c r="H60" s="9" t="str">
        <f t="shared" si="7"/>
        <v>29</v>
      </c>
      <c r="I60" s="4" t="s">
        <v>22</v>
      </c>
      <c r="J60" s="4" t="s">
        <v>4</v>
      </c>
      <c r="K60" s="4" t="s">
        <v>5</v>
      </c>
      <c r="L60" s="4" t="s">
        <v>6</v>
      </c>
      <c r="M60" s="1">
        <v>100</v>
      </c>
      <c r="N60" s="2">
        <v>2920</v>
      </c>
      <c r="O60" s="6">
        <f t="shared" si="8"/>
        <v>42205</v>
      </c>
      <c r="P60" s="6">
        <f t="shared" si="9"/>
        <v>42186</v>
      </c>
      <c r="Q60">
        <f t="shared" si="10"/>
        <v>7</v>
      </c>
      <c r="R60">
        <f t="shared" si="11"/>
        <v>2015</v>
      </c>
      <c r="S60" t="s">
        <v>90</v>
      </c>
    </row>
    <row r="61" spans="1:19" x14ac:dyDescent="0.25">
      <c r="A61" s="4" t="s">
        <v>0</v>
      </c>
      <c r="B61" s="4" t="s">
        <v>1</v>
      </c>
      <c r="C61" s="4" t="s">
        <v>59</v>
      </c>
      <c r="D61" s="4" t="s">
        <v>60</v>
      </c>
      <c r="E61" s="4" t="s">
        <v>58</v>
      </c>
      <c r="F61" s="4" t="s">
        <v>3</v>
      </c>
      <c r="G61" s="8">
        <f t="shared" si="6"/>
        <v>42205</v>
      </c>
      <c r="H61" s="9" t="str">
        <f t="shared" si="7"/>
        <v>30</v>
      </c>
      <c r="I61" s="4" t="s">
        <v>10</v>
      </c>
      <c r="J61" s="4" t="s">
        <v>4</v>
      </c>
      <c r="K61" s="4" t="s">
        <v>5</v>
      </c>
      <c r="L61" s="4" t="s">
        <v>6</v>
      </c>
      <c r="M61" s="1">
        <v>100</v>
      </c>
      <c r="N61" s="2">
        <v>2920</v>
      </c>
      <c r="O61" s="6">
        <f t="shared" si="8"/>
        <v>42212</v>
      </c>
      <c r="P61" s="6">
        <f t="shared" si="9"/>
        <v>42186</v>
      </c>
      <c r="Q61">
        <f t="shared" si="10"/>
        <v>7</v>
      </c>
      <c r="R61">
        <f t="shared" si="11"/>
        <v>2015</v>
      </c>
      <c r="S61" t="s">
        <v>90</v>
      </c>
    </row>
    <row r="62" spans="1:19" x14ac:dyDescent="0.25">
      <c r="A62" s="4" t="s">
        <v>0</v>
      </c>
      <c r="B62" s="4" t="s">
        <v>1</v>
      </c>
      <c r="C62" s="4" t="s">
        <v>59</v>
      </c>
      <c r="D62" s="4" t="s">
        <v>60</v>
      </c>
      <c r="E62" s="4" t="s">
        <v>58</v>
      </c>
      <c r="F62" s="4" t="s">
        <v>3</v>
      </c>
      <c r="G62" s="8">
        <f t="shared" si="6"/>
        <v>42219</v>
      </c>
      <c r="H62" s="9" t="str">
        <f t="shared" si="7"/>
        <v>32</v>
      </c>
      <c r="I62" s="4" t="s">
        <v>32</v>
      </c>
      <c r="J62" s="4" t="s">
        <v>4</v>
      </c>
      <c r="K62" s="4" t="s">
        <v>5</v>
      </c>
      <c r="L62" s="4" t="s">
        <v>6</v>
      </c>
      <c r="M62" s="1">
        <v>100</v>
      </c>
      <c r="N62" s="2">
        <v>2920</v>
      </c>
      <c r="O62" s="6">
        <f t="shared" si="8"/>
        <v>42226</v>
      </c>
      <c r="P62" s="6">
        <f t="shared" si="9"/>
        <v>42217</v>
      </c>
      <c r="Q62">
        <f t="shared" si="10"/>
        <v>8</v>
      </c>
      <c r="R62">
        <f t="shared" si="11"/>
        <v>2015</v>
      </c>
      <c r="S62" t="s">
        <v>90</v>
      </c>
    </row>
    <row r="63" spans="1:19" x14ac:dyDescent="0.25">
      <c r="A63" s="4" t="s">
        <v>0</v>
      </c>
      <c r="B63" s="4" t="s">
        <v>1</v>
      </c>
      <c r="C63" s="4" t="s">
        <v>59</v>
      </c>
      <c r="D63" s="4" t="s">
        <v>60</v>
      </c>
      <c r="E63" s="4" t="s">
        <v>58</v>
      </c>
      <c r="F63" s="4" t="s">
        <v>3</v>
      </c>
      <c r="G63" s="8">
        <f t="shared" si="6"/>
        <v>42226</v>
      </c>
      <c r="H63" s="9" t="str">
        <f t="shared" si="7"/>
        <v>33</v>
      </c>
      <c r="I63" s="4" t="s">
        <v>23</v>
      </c>
      <c r="J63" s="4" t="s">
        <v>4</v>
      </c>
      <c r="K63" s="4" t="s">
        <v>5</v>
      </c>
      <c r="L63" s="4" t="s">
        <v>6</v>
      </c>
      <c r="M63" s="1">
        <v>100</v>
      </c>
      <c r="N63" s="2">
        <v>2920</v>
      </c>
      <c r="O63" s="6">
        <f t="shared" si="8"/>
        <v>42233</v>
      </c>
      <c r="P63" s="6">
        <f t="shared" si="9"/>
        <v>42217</v>
      </c>
      <c r="Q63">
        <f t="shared" si="10"/>
        <v>8</v>
      </c>
      <c r="R63">
        <f t="shared" si="11"/>
        <v>2015</v>
      </c>
      <c r="S63" t="s">
        <v>90</v>
      </c>
    </row>
    <row r="64" spans="1:19" x14ac:dyDescent="0.25">
      <c r="A64" s="4" t="s">
        <v>0</v>
      </c>
      <c r="B64" s="4" t="s">
        <v>1</v>
      </c>
      <c r="C64" s="4" t="s">
        <v>59</v>
      </c>
      <c r="D64" s="4" t="s">
        <v>60</v>
      </c>
      <c r="E64" s="4" t="s">
        <v>58</v>
      </c>
      <c r="F64" s="4" t="s">
        <v>3</v>
      </c>
      <c r="G64" s="8">
        <f t="shared" si="6"/>
        <v>42233</v>
      </c>
      <c r="H64" s="9" t="str">
        <f t="shared" si="7"/>
        <v>34</v>
      </c>
      <c r="I64" s="4" t="s">
        <v>33</v>
      </c>
      <c r="J64" s="4" t="s">
        <v>4</v>
      </c>
      <c r="K64" s="4" t="s">
        <v>5</v>
      </c>
      <c r="L64" s="4" t="s">
        <v>6</v>
      </c>
      <c r="M64" s="1">
        <v>100</v>
      </c>
      <c r="N64" s="2">
        <v>2920</v>
      </c>
      <c r="O64" s="6">
        <f t="shared" si="8"/>
        <v>42240</v>
      </c>
      <c r="P64" s="6">
        <f t="shared" si="9"/>
        <v>42217</v>
      </c>
      <c r="Q64">
        <f t="shared" si="10"/>
        <v>8</v>
      </c>
      <c r="R64">
        <f t="shared" si="11"/>
        <v>2015</v>
      </c>
      <c r="S64" t="s">
        <v>90</v>
      </c>
    </row>
    <row r="65" spans="1:19" x14ac:dyDescent="0.25">
      <c r="A65" s="4" t="s">
        <v>0</v>
      </c>
      <c r="B65" s="4" t="s">
        <v>1</v>
      </c>
      <c r="C65" s="4" t="s">
        <v>59</v>
      </c>
      <c r="D65" s="4" t="s">
        <v>60</v>
      </c>
      <c r="E65" s="4" t="s">
        <v>58</v>
      </c>
      <c r="F65" s="4" t="s">
        <v>3</v>
      </c>
      <c r="G65" s="8">
        <f t="shared" si="6"/>
        <v>42240</v>
      </c>
      <c r="H65" s="9" t="str">
        <f t="shared" si="7"/>
        <v>35</v>
      </c>
      <c r="I65" s="4" t="s">
        <v>24</v>
      </c>
      <c r="J65" s="4" t="s">
        <v>4</v>
      </c>
      <c r="K65" s="4" t="s">
        <v>5</v>
      </c>
      <c r="L65" s="4" t="s">
        <v>6</v>
      </c>
      <c r="M65" s="1">
        <v>100</v>
      </c>
      <c r="N65" s="2">
        <v>2920</v>
      </c>
      <c r="O65" s="6">
        <f t="shared" si="8"/>
        <v>42247</v>
      </c>
      <c r="P65" s="6">
        <f t="shared" si="9"/>
        <v>42217</v>
      </c>
      <c r="Q65">
        <f t="shared" si="10"/>
        <v>8</v>
      </c>
      <c r="R65">
        <f t="shared" si="11"/>
        <v>2015</v>
      </c>
      <c r="S65" t="s">
        <v>90</v>
      </c>
    </row>
    <row r="66" spans="1:19" x14ac:dyDescent="0.25">
      <c r="A66" s="4" t="s">
        <v>0</v>
      </c>
      <c r="B66" s="4" t="s">
        <v>1</v>
      </c>
      <c r="C66" s="4" t="s">
        <v>61</v>
      </c>
      <c r="D66" s="4" t="s">
        <v>62</v>
      </c>
      <c r="E66" s="4" t="s">
        <v>58</v>
      </c>
      <c r="F66" s="4" t="s">
        <v>3</v>
      </c>
      <c r="G66" s="8">
        <f t="shared" si="6"/>
        <v>42142</v>
      </c>
      <c r="H66" s="9" t="str">
        <f t="shared" si="7"/>
        <v>21</v>
      </c>
      <c r="I66" s="4" t="s">
        <v>29</v>
      </c>
      <c r="J66" s="4" t="s">
        <v>4</v>
      </c>
      <c r="K66" s="4" t="s">
        <v>5</v>
      </c>
      <c r="L66" s="4" t="s">
        <v>6</v>
      </c>
      <c r="M66" s="1">
        <v>50</v>
      </c>
      <c r="N66" s="2">
        <v>1507</v>
      </c>
      <c r="O66" s="6">
        <f t="shared" si="8"/>
        <v>42149</v>
      </c>
      <c r="P66" s="6">
        <f t="shared" si="9"/>
        <v>42125</v>
      </c>
      <c r="Q66">
        <f t="shared" si="10"/>
        <v>5</v>
      </c>
      <c r="R66">
        <f t="shared" si="11"/>
        <v>2015</v>
      </c>
      <c r="S66" t="s">
        <v>90</v>
      </c>
    </row>
    <row r="67" spans="1:19" x14ac:dyDescent="0.25">
      <c r="A67" s="4" t="s">
        <v>0</v>
      </c>
      <c r="B67" s="4" t="s">
        <v>1</v>
      </c>
      <c r="C67" s="4" t="s">
        <v>61</v>
      </c>
      <c r="D67" s="4" t="s">
        <v>62</v>
      </c>
      <c r="E67" s="4" t="s">
        <v>58</v>
      </c>
      <c r="F67" s="4" t="s">
        <v>3</v>
      </c>
      <c r="G67" s="8">
        <f t="shared" si="6"/>
        <v>42177</v>
      </c>
      <c r="H67" s="9" t="str">
        <f t="shared" si="7"/>
        <v>26</v>
      </c>
      <c r="I67" s="4" t="s">
        <v>20</v>
      </c>
      <c r="J67" s="4" t="s">
        <v>4</v>
      </c>
      <c r="K67" s="4" t="s">
        <v>5</v>
      </c>
      <c r="L67" s="4" t="s">
        <v>6</v>
      </c>
      <c r="M67" s="1">
        <v>50</v>
      </c>
      <c r="N67" s="2">
        <v>1507</v>
      </c>
      <c r="O67" s="6">
        <f t="shared" si="8"/>
        <v>42184</v>
      </c>
      <c r="P67" s="6">
        <f t="shared" si="9"/>
        <v>42156</v>
      </c>
      <c r="Q67">
        <f t="shared" si="10"/>
        <v>6</v>
      </c>
      <c r="R67">
        <f t="shared" si="11"/>
        <v>2015</v>
      </c>
      <c r="S67" t="s">
        <v>90</v>
      </c>
    </row>
    <row r="68" spans="1:19" x14ac:dyDescent="0.25">
      <c r="A68" s="4" t="s">
        <v>0</v>
      </c>
      <c r="B68" s="4" t="s">
        <v>1</v>
      </c>
      <c r="C68" s="4" t="s">
        <v>61</v>
      </c>
      <c r="D68" s="4" t="s">
        <v>62</v>
      </c>
      <c r="E68" s="4" t="s">
        <v>58</v>
      </c>
      <c r="F68" s="4" t="s">
        <v>3</v>
      </c>
      <c r="G68" s="8">
        <f t="shared" si="6"/>
        <v>42205</v>
      </c>
      <c r="H68" s="9" t="str">
        <f t="shared" si="7"/>
        <v>30</v>
      </c>
      <c r="I68" s="4" t="s">
        <v>10</v>
      </c>
      <c r="J68" s="4" t="s">
        <v>4</v>
      </c>
      <c r="K68" s="4" t="s">
        <v>5</v>
      </c>
      <c r="L68" s="4" t="s">
        <v>6</v>
      </c>
      <c r="M68" s="1">
        <v>50</v>
      </c>
      <c r="N68" s="2">
        <v>1507</v>
      </c>
      <c r="O68" s="6">
        <f t="shared" si="8"/>
        <v>42212</v>
      </c>
      <c r="P68" s="6">
        <f t="shared" si="9"/>
        <v>42186</v>
      </c>
      <c r="Q68">
        <f t="shared" si="10"/>
        <v>7</v>
      </c>
      <c r="R68">
        <f t="shared" si="11"/>
        <v>2015</v>
      </c>
      <c r="S68" t="s">
        <v>90</v>
      </c>
    </row>
    <row r="69" spans="1:19" x14ac:dyDescent="0.25">
      <c r="A69" s="4" t="s">
        <v>0</v>
      </c>
      <c r="B69" s="4" t="s">
        <v>1</v>
      </c>
      <c r="C69" s="4" t="s">
        <v>61</v>
      </c>
      <c r="D69" s="4" t="s">
        <v>62</v>
      </c>
      <c r="E69" s="4" t="s">
        <v>58</v>
      </c>
      <c r="F69" s="4" t="s">
        <v>3</v>
      </c>
      <c r="G69" s="8">
        <f t="shared" si="6"/>
        <v>42233</v>
      </c>
      <c r="H69" s="9" t="str">
        <f t="shared" si="7"/>
        <v>34</v>
      </c>
      <c r="I69" s="4" t="s">
        <v>33</v>
      </c>
      <c r="J69" s="4" t="s">
        <v>4</v>
      </c>
      <c r="K69" s="4" t="s">
        <v>5</v>
      </c>
      <c r="L69" s="4" t="s">
        <v>6</v>
      </c>
      <c r="M69" s="1">
        <v>50</v>
      </c>
      <c r="N69" s="2">
        <v>1507</v>
      </c>
      <c r="O69" s="6">
        <f t="shared" si="8"/>
        <v>42240</v>
      </c>
      <c r="P69" s="6">
        <f t="shared" si="9"/>
        <v>42217</v>
      </c>
      <c r="Q69">
        <f t="shared" si="10"/>
        <v>8</v>
      </c>
      <c r="R69">
        <f t="shared" si="11"/>
        <v>2015</v>
      </c>
      <c r="S69" t="s">
        <v>90</v>
      </c>
    </row>
    <row r="70" spans="1:19" x14ac:dyDescent="0.25">
      <c r="A70" s="4" t="s">
        <v>0</v>
      </c>
      <c r="B70" s="4" t="s">
        <v>1</v>
      </c>
      <c r="C70" s="4" t="s">
        <v>63</v>
      </c>
      <c r="D70" s="4" t="s">
        <v>62</v>
      </c>
      <c r="E70" s="4" t="s">
        <v>58</v>
      </c>
      <c r="F70" s="4" t="s">
        <v>3</v>
      </c>
      <c r="G70" s="8">
        <f t="shared" si="6"/>
        <v>42086</v>
      </c>
      <c r="H70" s="9" t="str">
        <f t="shared" si="7"/>
        <v>13</v>
      </c>
      <c r="I70" s="4" t="s">
        <v>12</v>
      </c>
      <c r="J70" s="4" t="s">
        <v>4</v>
      </c>
      <c r="K70" s="4" t="s">
        <v>5</v>
      </c>
      <c r="L70" s="4" t="s">
        <v>6</v>
      </c>
      <c r="M70" s="1">
        <v>250</v>
      </c>
      <c r="N70" s="2">
        <v>5322.5</v>
      </c>
      <c r="O70" s="6">
        <f t="shared" si="8"/>
        <v>42093</v>
      </c>
      <c r="P70" s="6">
        <f t="shared" si="9"/>
        <v>42064</v>
      </c>
      <c r="Q70">
        <f t="shared" si="10"/>
        <v>3</v>
      </c>
      <c r="R70">
        <f t="shared" si="11"/>
        <v>2015</v>
      </c>
      <c r="S70" t="s">
        <v>90</v>
      </c>
    </row>
    <row r="71" spans="1:19" x14ac:dyDescent="0.25">
      <c r="A71" s="4" t="s">
        <v>0</v>
      </c>
      <c r="B71" s="4" t="s">
        <v>1</v>
      </c>
      <c r="C71" s="4" t="s">
        <v>63</v>
      </c>
      <c r="D71" s="4" t="s">
        <v>62</v>
      </c>
      <c r="E71" s="4" t="s">
        <v>58</v>
      </c>
      <c r="F71" s="4" t="s">
        <v>3</v>
      </c>
      <c r="G71" s="8">
        <f t="shared" si="6"/>
        <v>42100</v>
      </c>
      <c r="H71" s="9" t="str">
        <f t="shared" si="7"/>
        <v>15</v>
      </c>
      <c r="I71" s="4" t="s">
        <v>13</v>
      </c>
      <c r="J71" s="4" t="s">
        <v>4</v>
      </c>
      <c r="K71" s="4" t="s">
        <v>5</v>
      </c>
      <c r="L71" s="4" t="s">
        <v>6</v>
      </c>
      <c r="M71" s="1">
        <v>250</v>
      </c>
      <c r="N71" s="2">
        <v>5322.5</v>
      </c>
      <c r="O71" s="6">
        <f t="shared" si="8"/>
        <v>42107</v>
      </c>
      <c r="P71" s="6">
        <f t="shared" si="9"/>
        <v>42095</v>
      </c>
      <c r="Q71">
        <f t="shared" si="10"/>
        <v>4</v>
      </c>
      <c r="R71">
        <f t="shared" si="11"/>
        <v>2015</v>
      </c>
      <c r="S71" t="s">
        <v>90</v>
      </c>
    </row>
    <row r="72" spans="1:19" x14ac:dyDescent="0.25">
      <c r="A72" s="4" t="s">
        <v>0</v>
      </c>
      <c r="B72" s="4" t="s">
        <v>1</v>
      </c>
      <c r="C72" s="4" t="s">
        <v>63</v>
      </c>
      <c r="D72" s="4" t="s">
        <v>62</v>
      </c>
      <c r="E72" s="4" t="s">
        <v>58</v>
      </c>
      <c r="F72" s="4" t="s">
        <v>3</v>
      </c>
      <c r="G72" s="8">
        <f t="shared" si="6"/>
        <v>42114</v>
      </c>
      <c r="H72" s="9" t="str">
        <f t="shared" si="7"/>
        <v>17</v>
      </c>
      <c r="I72" s="4" t="s">
        <v>14</v>
      </c>
      <c r="J72" s="4" t="s">
        <v>4</v>
      </c>
      <c r="K72" s="4" t="s">
        <v>5</v>
      </c>
      <c r="L72" s="4" t="s">
        <v>6</v>
      </c>
      <c r="M72" s="1">
        <v>250</v>
      </c>
      <c r="N72" s="2">
        <v>5322.5</v>
      </c>
      <c r="O72" s="6">
        <f t="shared" si="8"/>
        <v>42121</v>
      </c>
      <c r="P72" s="6">
        <f t="shared" si="9"/>
        <v>42095</v>
      </c>
      <c r="Q72">
        <f t="shared" si="10"/>
        <v>4</v>
      </c>
      <c r="R72">
        <f t="shared" si="11"/>
        <v>2015</v>
      </c>
      <c r="S72" t="s">
        <v>90</v>
      </c>
    </row>
    <row r="73" spans="1:19" x14ac:dyDescent="0.25">
      <c r="A73" s="4" t="s">
        <v>0</v>
      </c>
      <c r="B73" s="4" t="s">
        <v>1</v>
      </c>
      <c r="C73" s="4" t="s">
        <v>63</v>
      </c>
      <c r="D73" s="4" t="s">
        <v>62</v>
      </c>
      <c r="E73" s="4" t="s">
        <v>58</v>
      </c>
      <c r="F73" s="4" t="s">
        <v>3</v>
      </c>
      <c r="G73" s="8">
        <f t="shared" si="6"/>
        <v>42128</v>
      </c>
      <c r="H73" s="9" t="str">
        <f t="shared" si="7"/>
        <v>19</v>
      </c>
      <c r="I73" s="4" t="s">
        <v>15</v>
      </c>
      <c r="J73" s="4" t="s">
        <v>4</v>
      </c>
      <c r="K73" s="4" t="s">
        <v>5</v>
      </c>
      <c r="L73" s="4" t="s">
        <v>6</v>
      </c>
      <c r="M73" s="1">
        <v>250</v>
      </c>
      <c r="N73" s="2">
        <v>5322.5</v>
      </c>
      <c r="O73" s="6">
        <f t="shared" si="8"/>
        <v>42135</v>
      </c>
      <c r="P73" s="6">
        <f t="shared" si="9"/>
        <v>42125</v>
      </c>
      <c r="Q73">
        <f t="shared" si="10"/>
        <v>5</v>
      </c>
      <c r="R73">
        <f t="shared" si="11"/>
        <v>2015</v>
      </c>
      <c r="S73" t="s">
        <v>90</v>
      </c>
    </row>
    <row r="74" spans="1:19" x14ac:dyDescent="0.25">
      <c r="A74" s="4" t="s">
        <v>0</v>
      </c>
      <c r="B74" s="4" t="s">
        <v>1</v>
      </c>
      <c r="C74" s="4" t="s">
        <v>63</v>
      </c>
      <c r="D74" s="4" t="s">
        <v>62</v>
      </c>
      <c r="E74" s="4" t="s">
        <v>58</v>
      </c>
      <c r="F74" s="4" t="s">
        <v>3</v>
      </c>
      <c r="G74" s="8">
        <f t="shared" si="6"/>
        <v>42142</v>
      </c>
      <c r="H74" s="9" t="str">
        <f t="shared" si="7"/>
        <v>21</v>
      </c>
      <c r="I74" s="4" t="s">
        <v>29</v>
      </c>
      <c r="J74" s="4" t="s">
        <v>4</v>
      </c>
      <c r="K74" s="4" t="s">
        <v>5</v>
      </c>
      <c r="L74" s="4" t="s">
        <v>6</v>
      </c>
      <c r="M74" s="1">
        <v>250</v>
      </c>
      <c r="N74" s="2">
        <v>5322.5</v>
      </c>
      <c r="O74" s="6">
        <f t="shared" si="8"/>
        <v>42149</v>
      </c>
      <c r="P74" s="6">
        <f t="shared" si="9"/>
        <v>42125</v>
      </c>
      <c r="Q74">
        <f t="shared" si="10"/>
        <v>5</v>
      </c>
      <c r="R74">
        <f t="shared" si="11"/>
        <v>2015</v>
      </c>
      <c r="S74" t="s">
        <v>90</v>
      </c>
    </row>
    <row r="75" spans="1:19" x14ac:dyDescent="0.25">
      <c r="A75" s="4" t="s">
        <v>0</v>
      </c>
      <c r="B75" s="4" t="s">
        <v>1</v>
      </c>
      <c r="C75" s="4" t="s">
        <v>63</v>
      </c>
      <c r="D75" s="4" t="s">
        <v>62</v>
      </c>
      <c r="E75" s="4" t="s">
        <v>58</v>
      </c>
      <c r="F75" s="4" t="s">
        <v>3</v>
      </c>
      <c r="G75" s="8">
        <f t="shared" si="6"/>
        <v>42156</v>
      </c>
      <c r="H75" s="9" t="str">
        <f t="shared" si="7"/>
        <v>23</v>
      </c>
      <c r="I75" s="4" t="s">
        <v>30</v>
      </c>
      <c r="J75" s="4" t="s">
        <v>4</v>
      </c>
      <c r="K75" s="4" t="s">
        <v>5</v>
      </c>
      <c r="L75" s="4" t="s">
        <v>6</v>
      </c>
      <c r="M75" s="1">
        <v>250</v>
      </c>
      <c r="N75" s="2">
        <v>5322.5</v>
      </c>
      <c r="O75" s="6">
        <f t="shared" si="8"/>
        <v>42163</v>
      </c>
      <c r="P75" s="6">
        <f t="shared" si="9"/>
        <v>42156</v>
      </c>
      <c r="Q75">
        <f t="shared" si="10"/>
        <v>6</v>
      </c>
      <c r="R75">
        <f t="shared" si="11"/>
        <v>2015</v>
      </c>
      <c r="S75" t="s">
        <v>90</v>
      </c>
    </row>
    <row r="76" spans="1:19" x14ac:dyDescent="0.25">
      <c r="A76" s="4" t="s">
        <v>0</v>
      </c>
      <c r="B76" s="4" t="s">
        <v>1</v>
      </c>
      <c r="C76" s="4" t="s">
        <v>63</v>
      </c>
      <c r="D76" s="4" t="s">
        <v>62</v>
      </c>
      <c r="E76" s="4" t="s">
        <v>58</v>
      </c>
      <c r="F76" s="4" t="s">
        <v>3</v>
      </c>
      <c r="G76" s="8">
        <f t="shared" si="6"/>
        <v>42177</v>
      </c>
      <c r="H76" s="9" t="str">
        <f t="shared" si="7"/>
        <v>26</v>
      </c>
      <c r="I76" s="4" t="s">
        <v>20</v>
      </c>
      <c r="J76" s="4" t="s">
        <v>4</v>
      </c>
      <c r="K76" s="4" t="s">
        <v>5</v>
      </c>
      <c r="L76" s="4" t="s">
        <v>6</v>
      </c>
      <c r="M76" s="1">
        <v>250</v>
      </c>
      <c r="N76" s="2">
        <v>5322.5</v>
      </c>
      <c r="O76" s="6">
        <f t="shared" si="8"/>
        <v>42184</v>
      </c>
      <c r="P76" s="6">
        <f t="shared" si="9"/>
        <v>42156</v>
      </c>
      <c r="Q76">
        <f t="shared" si="10"/>
        <v>6</v>
      </c>
      <c r="R76">
        <f t="shared" si="11"/>
        <v>2015</v>
      </c>
      <c r="S76" t="s">
        <v>90</v>
      </c>
    </row>
    <row r="77" spans="1:19" x14ac:dyDescent="0.25">
      <c r="A77" s="4" t="s">
        <v>0</v>
      </c>
      <c r="B77" s="4" t="s">
        <v>1</v>
      </c>
      <c r="C77" s="4" t="s">
        <v>63</v>
      </c>
      <c r="D77" s="4" t="s">
        <v>62</v>
      </c>
      <c r="E77" s="4" t="s">
        <v>58</v>
      </c>
      <c r="F77" s="4" t="s">
        <v>3</v>
      </c>
      <c r="G77" s="8">
        <f t="shared" ref="G77:G90" si="12">DATE(2015,1,H77*7-9)</f>
        <v>42191</v>
      </c>
      <c r="H77" s="9" t="str">
        <f t="shared" ref="H77:H90" si="13">MID(I77,1,2)</f>
        <v>28</v>
      </c>
      <c r="I77" s="4" t="s">
        <v>21</v>
      </c>
      <c r="J77" s="4" t="s">
        <v>4</v>
      </c>
      <c r="K77" s="4" t="s">
        <v>5</v>
      </c>
      <c r="L77" s="4" t="s">
        <v>6</v>
      </c>
      <c r="M77" s="1">
        <v>250</v>
      </c>
      <c r="N77" s="2">
        <v>5322.5</v>
      </c>
      <c r="O77" s="6">
        <f t="shared" ref="O77:O90" si="14">DATE(RIGHT(I77,4),1,1)+((LEFT(I77,2)-1)*7)-WEEKDAY(DATE(RIGHT(I77,4),1,1)+(LEFT(I77,2)-1)*7,2)+IF(RIGHT(I77,4)="2010",15,8)</f>
        <v>42198</v>
      </c>
      <c r="P77" s="6">
        <f t="shared" ref="P77:P90" si="15">DATE(YEAR(O77),MONTH(O77),1)</f>
        <v>42186</v>
      </c>
      <c r="Q77">
        <f t="shared" ref="Q77:Q90" si="16">MONTH(P77)</f>
        <v>7</v>
      </c>
      <c r="R77">
        <f t="shared" ref="R77:R90" si="17">YEAR(P77)</f>
        <v>2015</v>
      </c>
      <c r="S77" t="s">
        <v>90</v>
      </c>
    </row>
    <row r="78" spans="1:19" x14ac:dyDescent="0.25">
      <c r="A78" s="4" t="s">
        <v>0</v>
      </c>
      <c r="B78" s="4" t="s">
        <v>1</v>
      </c>
      <c r="C78" s="4" t="s">
        <v>63</v>
      </c>
      <c r="D78" s="4" t="s">
        <v>62</v>
      </c>
      <c r="E78" s="4" t="s">
        <v>58</v>
      </c>
      <c r="F78" s="4" t="s">
        <v>3</v>
      </c>
      <c r="G78" s="8">
        <f t="shared" si="12"/>
        <v>42205</v>
      </c>
      <c r="H78" s="9" t="str">
        <f t="shared" si="13"/>
        <v>30</v>
      </c>
      <c r="I78" s="4" t="s">
        <v>10</v>
      </c>
      <c r="J78" s="4" t="s">
        <v>4</v>
      </c>
      <c r="K78" s="4" t="s">
        <v>5</v>
      </c>
      <c r="L78" s="4" t="s">
        <v>6</v>
      </c>
      <c r="M78" s="1">
        <v>250</v>
      </c>
      <c r="N78" s="2">
        <v>5322.5</v>
      </c>
      <c r="O78" s="6">
        <f t="shared" si="14"/>
        <v>42212</v>
      </c>
      <c r="P78" s="6">
        <f t="shared" si="15"/>
        <v>42186</v>
      </c>
      <c r="Q78">
        <f t="shared" si="16"/>
        <v>7</v>
      </c>
      <c r="R78">
        <f t="shared" si="17"/>
        <v>2015</v>
      </c>
      <c r="S78" t="s">
        <v>90</v>
      </c>
    </row>
    <row r="79" spans="1:19" x14ac:dyDescent="0.25">
      <c r="A79" s="4" t="s">
        <v>0</v>
      </c>
      <c r="B79" s="4" t="s">
        <v>1</v>
      </c>
      <c r="C79" s="4" t="s">
        <v>63</v>
      </c>
      <c r="D79" s="4" t="s">
        <v>62</v>
      </c>
      <c r="E79" s="4" t="s">
        <v>58</v>
      </c>
      <c r="F79" s="4" t="s">
        <v>3</v>
      </c>
      <c r="G79" s="8">
        <f t="shared" si="12"/>
        <v>42219</v>
      </c>
      <c r="H79" s="9" t="str">
        <f t="shared" si="13"/>
        <v>32</v>
      </c>
      <c r="I79" s="4" t="s">
        <v>32</v>
      </c>
      <c r="J79" s="4" t="s">
        <v>4</v>
      </c>
      <c r="K79" s="4" t="s">
        <v>5</v>
      </c>
      <c r="L79" s="4" t="s">
        <v>6</v>
      </c>
      <c r="M79" s="1">
        <v>250</v>
      </c>
      <c r="N79" s="2">
        <v>5322.5</v>
      </c>
      <c r="O79" s="6">
        <f t="shared" si="14"/>
        <v>42226</v>
      </c>
      <c r="P79" s="6">
        <f t="shared" si="15"/>
        <v>42217</v>
      </c>
      <c r="Q79">
        <f t="shared" si="16"/>
        <v>8</v>
      </c>
      <c r="R79">
        <f t="shared" si="17"/>
        <v>2015</v>
      </c>
      <c r="S79" t="s">
        <v>90</v>
      </c>
    </row>
    <row r="80" spans="1:19" x14ac:dyDescent="0.25">
      <c r="A80" s="4" t="s">
        <v>0</v>
      </c>
      <c r="B80" s="4" t="s">
        <v>1</v>
      </c>
      <c r="C80" s="4" t="s">
        <v>63</v>
      </c>
      <c r="D80" s="4" t="s">
        <v>62</v>
      </c>
      <c r="E80" s="4" t="s">
        <v>58</v>
      </c>
      <c r="F80" s="4" t="s">
        <v>3</v>
      </c>
      <c r="G80" s="8">
        <f t="shared" si="12"/>
        <v>42233</v>
      </c>
      <c r="H80" s="9" t="str">
        <f t="shared" si="13"/>
        <v>34</v>
      </c>
      <c r="I80" s="4" t="s">
        <v>33</v>
      </c>
      <c r="J80" s="4" t="s">
        <v>4</v>
      </c>
      <c r="K80" s="4" t="s">
        <v>5</v>
      </c>
      <c r="L80" s="4" t="s">
        <v>6</v>
      </c>
      <c r="M80" s="1">
        <v>250</v>
      </c>
      <c r="N80" s="2">
        <v>5322.5</v>
      </c>
      <c r="O80" s="6">
        <f t="shared" si="14"/>
        <v>42240</v>
      </c>
      <c r="P80" s="6">
        <f t="shared" si="15"/>
        <v>42217</v>
      </c>
      <c r="Q80">
        <f t="shared" si="16"/>
        <v>8</v>
      </c>
      <c r="R80">
        <f t="shared" si="17"/>
        <v>2015</v>
      </c>
      <c r="S80" t="s">
        <v>90</v>
      </c>
    </row>
    <row r="81" spans="1:19" x14ac:dyDescent="0.25">
      <c r="A81" s="4" t="s">
        <v>0</v>
      </c>
      <c r="B81" s="4" t="s">
        <v>1</v>
      </c>
      <c r="C81" s="4" t="s">
        <v>64</v>
      </c>
      <c r="D81" s="4" t="s">
        <v>65</v>
      </c>
      <c r="E81" s="4" t="s">
        <v>48</v>
      </c>
      <c r="F81" s="4" t="s">
        <v>3</v>
      </c>
      <c r="G81" s="8">
        <f t="shared" si="12"/>
        <v>42233</v>
      </c>
      <c r="H81" s="9" t="str">
        <f t="shared" si="13"/>
        <v>34</v>
      </c>
      <c r="I81" s="4" t="s">
        <v>33</v>
      </c>
      <c r="J81" s="4" t="s">
        <v>4</v>
      </c>
      <c r="K81" s="4" t="s">
        <v>5</v>
      </c>
      <c r="L81" s="4" t="s">
        <v>6</v>
      </c>
      <c r="M81" s="1">
        <v>500</v>
      </c>
      <c r="N81" s="2">
        <v>30109.99</v>
      </c>
      <c r="O81" s="6">
        <f t="shared" si="14"/>
        <v>42240</v>
      </c>
      <c r="P81" s="6">
        <f t="shared" si="15"/>
        <v>42217</v>
      </c>
      <c r="Q81">
        <f t="shared" si="16"/>
        <v>8</v>
      </c>
      <c r="R81">
        <f t="shared" si="17"/>
        <v>2015</v>
      </c>
      <c r="S81" t="s">
        <v>90</v>
      </c>
    </row>
    <row r="82" spans="1:19" x14ac:dyDescent="0.25">
      <c r="A82" s="4" t="s">
        <v>0</v>
      </c>
      <c r="B82" s="4" t="s">
        <v>1</v>
      </c>
      <c r="C82" s="4" t="s">
        <v>66</v>
      </c>
      <c r="D82" s="4" t="s">
        <v>67</v>
      </c>
      <c r="E82" s="4" t="s">
        <v>58</v>
      </c>
      <c r="F82" s="4" t="s">
        <v>3</v>
      </c>
      <c r="G82" s="8">
        <f t="shared" si="12"/>
        <v>42135</v>
      </c>
      <c r="H82" s="9" t="str">
        <f t="shared" si="13"/>
        <v>20</v>
      </c>
      <c r="I82" s="4" t="s">
        <v>16</v>
      </c>
      <c r="J82" s="4" t="s">
        <v>53</v>
      </c>
      <c r="K82" s="4" t="s">
        <v>5</v>
      </c>
      <c r="L82" s="4" t="s">
        <v>6</v>
      </c>
      <c r="M82" s="1">
        <v>5000</v>
      </c>
      <c r="N82" s="2">
        <v>10650</v>
      </c>
      <c r="O82" s="6">
        <f t="shared" si="14"/>
        <v>42142</v>
      </c>
      <c r="P82" s="6">
        <f t="shared" si="15"/>
        <v>42125</v>
      </c>
      <c r="Q82">
        <f t="shared" si="16"/>
        <v>5</v>
      </c>
      <c r="R82">
        <f t="shared" si="17"/>
        <v>2015</v>
      </c>
      <c r="S82" t="s">
        <v>90</v>
      </c>
    </row>
    <row r="83" spans="1:19" x14ac:dyDescent="0.25">
      <c r="A83" s="4" t="s">
        <v>0</v>
      </c>
      <c r="B83" s="4" t="s">
        <v>1</v>
      </c>
      <c r="C83" s="4" t="s">
        <v>66</v>
      </c>
      <c r="D83" s="4" t="s">
        <v>67</v>
      </c>
      <c r="E83" s="4" t="s">
        <v>58</v>
      </c>
      <c r="F83" s="4" t="s">
        <v>3</v>
      </c>
      <c r="G83" s="8">
        <f t="shared" si="12"/>
        <v>42198</v>
      </c>
      <c r="H83" s="9" t="str">
        <f t="shared" si="13"/>
        <v>29</v>
      </c>
      <c r="I83" s="4" t="s">
        <v>22</v>
      </c>
      <c r="J83" s="4" t="s">
        <v>53</v>
      </c>
      <c r="K83" s="4" t="s">
        <v>5</v>
      </c>
      <c r="L83" s="4" t="s">
        <v>6</v>
      </c>
      <c r="M83" s="1">
        <v>5000</v>
      </c>
      <c r="N83" s="2">
        <v>10650</v>
      </c>
      <c r="O83" s="6">
        <f t="shared" si="14"/>
        <v>42205</v>
      </c>
      <c r="P83" s="6">
        <f t="shared" si="15"/>
        <v>42186</v>
      </c>
      <c r="Q83">
        <f t="shared" si="16"/>
        <v>7</v>
      </c>
      <c r="R83">
        <f t="shared" si="17"/>
        <v>2015</v>
      </c>
      <c r="S83" t="s">
        <v>90</v>
      </c>
    </row>
    <row r="84" spans="1:19" x14ac:dyDescent="0.25">
      <c r="A84" s="4" t="s">
        <v>0</v>
      </c>
      <c r="B84" s="4" t="s">
        <v>1</v>
      </c>
      <c r="C84" s="4" t="s">
        <v>68</v>
      </c>
      <c r="D84" s="4" t="s">
        <v>69</v>
      </c>
      <c r="E84" s="4" t="s">
        <v>58</v>
      </c>
      <c r="F84" s="4" t="s">
        <v>3</v>
      </c>
      <c r="G84" s="8">
        <f t="shared" si="12"/>
        <v>42156</v>
      </c>
      <c r="H84" s="9" t="str">
        <f t="shared" si="13"/>
        <v>23</v>
      </c>
      <c r="I84" s="4" t="s">
        <v>30</v>
      </c>
      <c r="J84" s="4" t="s">
        <v>53</v>
      </c>
      <c r="K84" s="4" t="s">
        <v>5</v>
      </c>
      <c r="L84" s="4" t="s">
        <v>6</v>
      </c>
      <c r="M84" s="1">
        <v>5000</v>
      </c>
      <c r="N84" s="2">
        <v>2150</v>
      </c>
      <c r="O84" s="6">
        <f t="shared" si="14"/>
        <v>42163</v>
      </c>
      <c r="P84" s="6">
        <f t="shared" si="15"/>
        <v>42156</v>
      </c>
      <c r="Q84">
        <f t="shared" si="16"/>
        <v>6</v>
      </c>
      <c r="R84">
        <f t="shared" si="17"/>
        <v>2015</v>
      </c>
      <c r="S84" t="s">
        <v>90</v>
      </c>
    </row>
    <row r="85" spans="1:19" x14ac:dyDescent="0.25">
      <c r="A85" s="4" t="s">
        <v>0</v>
      </c>
      <c r="B85" s="4" t="s">
        <v>1</v>
      </c>
      <c r="C85" s="4" t="s">
        <v>68</v>
      </c>
      <c r="D85" s="4" t="s">
        <v>69</v>
      </c>
      <c r="E85" s="4" t="s">
        <v>58</v>
      </c>
      <c r="F85" s="4" t="s">
        <v>3</v>
      </c>
      <c r="G85" s="8">
        <f t="shared" si="12"/>
        <v>42191</v>
      </c>
      <c r="H85" s="9" t="str">
        <f t="shared" si="13"/>
        <v>28</v>
      </c>
      <c r="I85" s="4" t="s">
        <v>21</v>
      </c>
      <c r="J85" s="4" t="s">
        <v>53</v>
      </c>
      <c r="K85" s="4" t="s">
        <v>5</v>
      </c>
      <c r="L85" s="4" t="s">
        <v>6</v>
      </c>
      <c r="M85" s="1">
        <v>5000</v>
      </c>
      <c r="N85" s="2">
        <v>2150</v>
      </c>
      <c r="O85" s="6">
        <f t="shared" si="14"/>
        <v>42198</v>
      </c>
      <c r="P85" s="6">
        <f t="shared" si="15"/>
        <v>42186</v>
      </c>
      <c r="Q85">
        <f t="shared" si="16"/>
        <v>7</v>
      </c>
      <c r="R85">
        <f t="shared" si="17"/>
        <v>2015</v>
      </c>
      <c r="S85" t="s">
        <v>90</v>
      </c>
    </row>
    <row r="86" spans="1:19" x14ac:dyDescent="0.25">
      <c r="A86" s="4" t="s">
        <v>0</v>
      </c>
      <c r="B86" s="4" t="s">
        <v>1</v>
      </c>
      <c r="C86" s="4" t="s">
        <v>68</v>
      </c>
      <c r="D86" s="4" t="s">
        <v>69</v>
      </c>
      <c r="E86" s="4" t="s">
        <v>58</v>
      </c>
      <c r="F86" s="4" t="s">
        <v>3</v>
      </c>
      <c r="G86" s="8">
        <f t="shared" si="12"/>
        <v>42233</v>
      </c>
      <c r="H86" s="9" t="str">
        <f t="shared" si="13"/>
        <v>34</v>
      </c>
      <c r="I86" s="4" t="s">
        <v>33</v>
      </c>
      <c r="J86" s="4" t="s">
        <v>53</v>
      </c>
      <c r="K86" s="4" t="s">
        <v>5</v>
      </c>
      <c r="L86" s="4" t="s">
        <v>6</v>
      </c>
      <c r="M86" s="1">
        <v>5000</v>
      </c>
      <c r="N86" s="2">
        <v>2150</v>
      </c>
      <c r="O86" s="6">
        <f t="shared" si="14"/>
        <v>42240</v>
      </c>
      <c r="P86" s="6">
        <f t="shared" si="15"/>
        <v>42217</v>
      </c>
      <c r="Q86">
        <f t="shared" si="16"/>
        <v>8</v>
      </c>
      <c r="R86">
        <f t="shared" si="17"/>
        <v>2015</v>
      </c>
      <c r="S86" t="s">
        <v>90</v>
      </c>
    </row>
    <row r="87" spans="1:19" x14ac:dyDescent="0.25">
      <c r="A87" s="4" t="s">
        <v>0</v>
      </c>
      <c r="B87" s="4" t="s">
        <v>1</v>
      </c>
      <c r="C87" s="4" t="s">
        <v>70</v>
      </c>
      <c r="D87" s="4" t="s">
        <v>71</v>
      </c>
      <c r="E87" s="4" t="s">
        <v>58</v>
      </c>
      <c r="F87" s="4" t="s">
        <v>3</v>
      </c>
      <c r="G87" s="8">
        <f t="shared" si="12"/>
        <v>42128</v>
      </c>
      <c r="H87" s="9" t="str">
        <f t="shared" si="13"/>
        <v>19</v>
      </c>
      <c r="I87" s="4" t="s">
        <v>15</v>
      </c>
      <c r="J87" s="4" t="s">
        <v>53</v>
      </c>
      <c r="K87" s="4" t="s">
        <v>5</v>
      </c>
      <c r="L87" s="4" t="s">
        <v>6</v>
      </c>
      <c r="M87" s="1">
        <v>5000</v>
      </c>
      <c r="N87" s="2">
        <v>2200</v>
      </c>
      <c r="O87" s="6">
        <f t="shared" si="14"/>
        <v>42135</v>
      </c>
      <c r="P87" s="6">
        <f t="shared" si="15"/>
        <v>42125</v>
      </c>
      <c r="Q87">
        <f t="shared" si="16"/>
        <v>5</v>
      </c>
      <c r="R87">
        <f t="shared" si="17"/>
        <v>2015</v>
      </c>
      <c r="S87" t="s">
        <v>90</v>
      </c>
    </row>
    <row r="88" spans="1:19" x14ac:dyDescent="0.25">
      <c r="A88" s="4" t="s">
        <v>0</v>
      </c>
      <c r="B88" s="4" t="s">
        <v>1</v>
      </c>
      <c r="C88" s="4" t="s">
        <v>70</v>
      </c>
      <c r="D88" s="4" t="s">
        <v>71</v>
      </c>
      <c r="E88" s="4" t="s">
        <v>58</v>
      </c>
      <c r="F88" s="4" t="s">
        <v>3</v>
      </c>
      <c r="G88" s="8">
        <f t="shared" si="12"/>
        <v>42170</v>
      </c>
      <c r="H88" s="9" t="str">
        <f t="shared" si="13"/>
        <v>25</v>
      </c>
      <c r="I88" s="4" t="s">
        <v>19</v>
      </c>
      <c r="J88" s="4" t="s">
        <v>53</v>
      </c>
      <c r="K88" s="4" t="s">
        <v>5</v>
      </c>
      <c r="L88" s="4" t="s">
        <v>6</v>
      </c>
      <c r="M88" s="1">
        <v>5000</v>
      </c>
      <c r="N88" s="2">
        <v>2200</v>
      </c>
      <c r="O88" s="6">
        <f t="shared" si="14"/>
        <v>42177</v>
      </c>
      <c r="P88" s="6">
        <f t="shared" si="15"/>
        <v>42156</v>
      </c>
      <c r="Q88">
        <f t="shared" si="16"/>
        <v>6</v>
      </c>
      <c r="R88">
        <f t="shared" si="17"/>
        <v>2015</v>
      </c>
      <c r="S88" t="s">
        <v>90</v>
      </c>
    </row>
    <row r="89" spans="1:19" x14ac:dyDescent="0.25">
      <c r="A89" s="4" t="s">
        <v>0</v>
      </c>
      <c r="B89" s="4" t="s">
        <v>1</v>
      </c>
      <c r="C89" s="4" t="s">
        <v>70</v>
      </c>
      <c r="D89" s="4" t="s">
        <v>71</v>
      </c>
      <c r="E89" s="4" t="s">
        <v>58</v>
      </c>
      <c r="F89" s="4" t="s">
        <v>3</v>
      </c>
      <c r="G89" s="8">
        <f t="shared" si="12"/>
        <v>42205</v>
      </c>
      <c r="H89" s="9" t="str">
        <f t="shared" si="13"/>
        <v>30</v>
      </c>
      <c r="I89" s="4" t="s">
        <v>10</v>
      </c>
      <c r="J89" s="4" t="s">
        <v>53</v>
      </c>
      <c r="K89" s="4" t="s">
        <v>5</v>
      </c>
      <c r="L89" s="4" t="s">
        <v>6</v>
      </c>
      <c r="M89" s="1">
        <v>5000</v>
      </c>
      <c r="N89" s="2">
        <v>2200</v>
      </c>
      <c r="O89" s="6">
        <f t="shared" si="14"/>
        <v>42212</v>
      </c>
      <c r="P89" s="6">
        <f t="shared" si="15"/>
        <v>42186</v>
      </c>
      <c r="Q89">
        <f t="shared" si="16"/>
        <v>7</v>
      </c>
      <c r="R89">
        <f t="shared" si="17"/>
        <v>2015</v>
      </c>
      <c r="S89" t="s">
        <v>90</v>
      </c>
    </row>
    <row r="90" spans="1:19" x14ac:dyDescent="0.25">
      <c r="A90" s="4" t="s">
        <v>0</v>
      </c>
      <c r="B90" s="4" t="s">
        <v>1</v>
      </c>
      <c r="C90" s="4" t="s">
        <v>70</v>
      </c>
      <c r="D90" s="4" t="s">
        <v>71</v>
      </c>
      <c r="E90" s="4" t="s">
        <v>58</v>
      </c>
      <c r="F90" s="4" t="s">
        <v>3</v>
      </c>
      <c r="G90" s="8">
        <f t="shared" si="12"/>
        <v>42240</v>
      </c>
      <c r="H90" s="9" t="str">
        <f t="shared" si="13"/>
        <v>35</v>
      </c>
      <c r="I90" s="4" t="s">
        <v>24</v>
      </c>
      <c r="J90" s="4" t="s">
        <v>53</v>
      </c>
      <c r="K90" s="4" t="s">
        <v>5</v>
      </c>
      <c r="L90" s="4" t="s">
        <v>6</v>
      </c>
      <c r="M90" s="1">
        <v>5000</v>
      </c>
      <c r="N90" s="2">
        <v>2200</v>
      </c>
      <c r="O90" s="6">
        <f t="shared" si="14"/>
        <v>42247</v>
      </c>
      <c r="P90" s="6">
        <f t="shared" si="15"/>
        <v>42217</v>
      </c>
      <c r="Q90">
        <f t="shared" si="16"/>
        <v>8</v>
      </c>
      <c r="R90">
        <f t="shared" si="17"/>
        <v>2015</v>
      </c>
      <c r="S90" t="s">
        <v>90</v>
      </c>
    </row>
  </sheetData>
  <autoFilter ref="A1:S90"/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16</vt:i4>
      </vt:variant>
    </vt:vector>
  </HeadingPairs>
  <TitlesOfParts>
    <vt:vector size="18" baseType="lpstr">
      <vt:lpstr>ERP for HZ</vt:lpstr>
      <vt:lpstr>HZ</vt:lpstr>
      <vt:lpstr>HZ!DATA1</vt:lpstr>
      <vt:lpstr>HZ!DATA10</vt:lpstr>
      <vt:lpstr>HZ!DATA11</vt:lpstr>
      <vt:lpstr>HZ!DATA12</vt:lpstr>
      <vt:lpstr>HZ!DATA2</vt:lpstr>
      <vt:lpstr>HZ!DATA3</vt:lpstr>
      <vt:lpstr>HZ!DATA4</vt:lpstr>
      <vt:lpstr>HZ!DATA5</vt:lpstr>
      <vt:lpstr>HZ!DATA6</vt:lpstr>
      <vt:lpstr>HZ!DATA7</vt:lpstr>
      <vt:lpstr>HZ!DATA8</vt:lpstr>
      <vt:lpstr>HZ!DATA9</vt:lpstr>
      <vt:lpstr>HZ!TEST0</vt:lpstr>
      <vt:lpstr>HZ!TESTHKEY</vt:lpstr>
      <vt:lpstr>HZ!TESTKEYS</vt:lpstr>
      <vt:lpstr>HZ!TESTVKEY</vt:lpstr>
    </vt:vector>
  </TitlesOfParts>
  <Company>Rockwell Automation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Kieonna T. Peake</dc:creator>
  <cp:lastModifiedBy>Perton Chang</cp:lastModifiedBy>
  <dcterms:created xsi:type="dcterms:W3CDTF">2015-02-03T13:45:30Z</dcterms:created>
  <dcterms:modified xsi:type="dcterms:W3CDTF">2015-02-12T03:37:46Z</dcterms:modified>
</cp:coreProperties>
</file>